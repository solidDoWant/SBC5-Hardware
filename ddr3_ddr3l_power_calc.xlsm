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Users\Fred\Downloads\"/>
    </mc:Choice>
  </mc:AlternateContent>
  <xr:revisionPtr revIDLastSave="0" documentId="13_ncr:1_{68D0D383-B4E2-48C6-823D-4DC858F81899}" xr6:coauthVersionLast="45" xr6:coauthVersionMax="45" xr10:uidLastSave="{00000000-0000-0000-0000-000000000000}"/>
  <bookViews>
    <workbookView xWindow="-120" yWindow="-120" windowWidth="25440" windowHeight="15390" activeTab="6"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21" i="5" l="1"/>
  <c r="K21" i="5" s="1"/>
  <c r="K25" i="5" s="1"/>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U15" i="2"/>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D16" i="6" l="1"/>
  <c r="D23" i="6" s="1"/>
  <c r="K24" i="5"/>
  <c r="D24" i="6"/>
  <c r="Q20" i="6" s="1"/>
</calcChain>
</file>

<file path=xl/sharedStrings.xml><?xml version="1.0" encoding="utf-8"?>
<sst xmlns="http://schemas.openxmlformats.org/spreadsheetml/2006/main" count="1209" uniqueCount="334">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</sst>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0.0"/>
    <numFmt numFmtId="165" formatCode="mmmm\ d\,\ yyyy"/>
    <numFmt numFmtId="166" formatCode="_(* #,##0.0_);_(* \(#,##0.0\);_(* &quot;-&quot;??_);_(@_)"/>
    <numFmt numFmtId="167" formatCode="_(* #,##0_);_(* \(#,##0\);_(* &quot;-&quot;??_);_(@_)"/>
    <numFmt numFmtId="168"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43"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303">
    <xf numFmtId="0" fontId="0" fillId="0" borderId="0" xfId="0"/>
    <xf numFmtId="0" fontId="0" fillId="0" borderId="0" xfId="0" quotePrefix="1"/>
    <xf numFmtId="0" fontId="0" fillId="0" borderId="0" xfId="0" applyBorder="1"/>
    <xf numFmtId="0" fontId="0" fillId="0" borderId="0" xfId="0" applyAlignment="1">
      <alignment vertical="top"/>
    </xf>
    <xf numFmtId="0" fontId="0" fillId="0" borderId="0" xfId="0" applyAlignment="1"/>
    <xf numFmtId="0" fontId="3" fillId="0" borderId="0" xfId="0" applyFont="1" applyAlignme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Border="1" applyAlignment="1">
      <alignment vertical="top"/>
    </xf>
    <xf numFmtId="165"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6" fillId="0" borderId="0" xfId="0" applyFont="1" applyAlignment="1"/>
    <xf numFmtId="0" fontId="7" fillId="0" borderId="10" xfId="0" applyFont="1" applyBorder="1" applyAlignment="1">
      <alignment vertical="top"/>
    </xf>
    <xf numFmtId="0" fontId="3" fillId="0" borderId="0" xfId="0" applyFont="1"/>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6" fillId="0" borderId="0" xfId="0" applyFont="1" applyFill="1" applyBorder="1"/>
    <xf numFmtId="0" fontId="13" fillId="0" borderId="0" xfId="0" applyFont="1"/>
    <xf numFmtId="0" fontId="13" fillId="0" borderId="0" xfId="0" applyFont="1" applyAlignment="1">
      <alignment vertical="top"/>
    </xf>
    <xf numFmtId="0" fontId="7"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0" fillId="0" borderId="0" xfId="0" applyFill="1"/>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Fill="1" applyBorder="1" applyAlignment="1">
      <alignment horizontal="center" vertical="center"/>
    </xf>
    <xf numFmtId="0" fontId="15" fillId="0" borderId="0" xfId="0" applyFont="1" applyFill="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4" fontId="0" fillId="0" borderId="0" xfId="0" applyNumberFormat="1" applyBorder="1"/>
    <xf numFmtId="166" fontId="0" fillId="0" borderId="0" xfId="1" applyNumberFormat="1" applyFont="1" applyBorder="1"/>
    <xf numFmtId="167"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4"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Fill="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8" fillId="0" borderId="0" xfId="0" applyFont="1" applyFill="1" applyAlignment="1">
      <alignment horizontal="center" vertical="center"/>
    </xf>
    <xf numFmtId="0" fontId="27" fillId="0" borderId="12" xfId="0" applyFont="1" applyFill="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Fill="1" applyBorder="1" applyAlignment="1">
      <alignment horizontal="center" vertical="center"/>
    </xf>
    <xf numFmtId="0" fontId="32" fillId="0" borderId="12" xfId="0" applyFont="1" applyBorder="1" applyAlignment="1">
      <alignment horizontal="center" vertical="center"/>
    </xf>
    <xf numFmtId="0" fontId="32" fillId="0" borderId="12" xfId="0" applyFont="1" applyFill="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Fill="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Fill="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Border="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4"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Fill="1" applyBorder="1" applyAlignment="1">
      <alignment horizontal="center" vertical="center" wrapText="1"/>
    </xf>
    <xf numFmtId="0" fontId="3" fillId="0" borderId="0" xfId="0" applyFont="1" applyFill="1" applyBorder="1" applyAlignment="1">
      <alignment horizontal="center" vertical="center" wrapText="1"/>
    </xf>
    <xf numFmtId="0" fontId="5" fillId="0" borderId="22" xfId="0" applyFont="1" applyBorder="1" applyAlignment="1">
      <alignment vertical="center" wrapText="1"/>
    </xf>
    <xf numFmtId="0" fontId="5" fillId="0" borderId="0" xfId="0" applyFont="1" applyBorder="1" applyAlignment="1">
      <alignment vertical="center"/>
    </xf>
    <xf numFmtId="0" fontId="5" fillId="0" borderId="23" xfId="0" applyFont="1" applyBorder="1" applyAlignment="1">
      <alignment vertical="center" wrapText="1"/>
    </xf>
    <xf numFmtId="0" fontId="5" fillId="0" borderId="24" xfId="0" applyFont="1" applyBorder="1" applyAlignment="1">
      <alignment vertical="center" wrapText="1"/>
    </xf>
    <xf numFmtId="164" fontId="5" fillId="0" borderId="18" xfId="0" applyNumberFormat="1" applyFont="1" applyBorder="1" applyAlignment="1">
      <alignment vertical="center"/>
    </xf>
    <xf numFmtId="164" fontId="3" fillId="0" borderId="0" xfId="0" applyNumberFormat="1" applyFont="1" applyAlignment="1">
      <alignment vertical="center"/>
    </xf>
    <xf numFmtId="164"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Fill="1" applyBorder="1" applyAlignment="1">
      <alignment horizontal="center" vertical="center"/>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Fill="1" applyBorder="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Border="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0" borderId="0" xfId="0" applyFont="1" applyBorder="1" applyAlignment="1">
      <alignment vertical="top"/>
    </xf>
    <xf numFmtId="0" fontId="3" fillId="10" borderId="31" xfId="0" applyFont="1" applyFill="1" applyBorder="1" applyAlignment="1">
      <alignment horizontal="center" vertical="center" wrapText="1"/>
    </xf>
    <xf numFmtId="164"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4"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10" fillId="0" borderId="0" xfId="0" applyFont="1" applyBorder="1" applyAlignment="1"/>
    <xf numFmtId="0" fontId="5" fillId="10" borderId="20" xfId="0" applyFont="1" applyFill="1" applyBorder="1" applyAlignment="1">
      <alignment vertical="center"/>
    </xf>
    <xf numFmtId="164"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4"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164" fontId="0" fillId="0" borderId="0" xfId="0" applyNumberFormat="1"/>
    <xf numFmtId="0" fontId="5" fillId="0" borderId="0" xfId="0" applyFont="1"/>
    <xf numFmtId="164" fontId="5" fillId="0" borderId="0" xfId="0" applyNumberFormat="1" applyFont="1"/>
    <xf numFmtId="0" fontId="45" fillId="13" borderId="0" xfId="0" applyFont="1" applyFill="1"/>
    <xf numFmtId="164" fontId="45" fillId="13" borderId="0" xfId="0" applyNumberFormat="1" applyFont="1" applyFill="1"/>
    <xf numFmtId="0" fontId="26" fillId="0" borderId="0" xfId="0" applyFont="1" applyBorder="1" applyAlignment="1">
      <alignment vertical="center"/>
    </xf>
    <xf numFmtId="164" fontId="26" fillId="0" borderId="0" xfId="0" applyNumberFormat="1" applyFont="1" applyBorder="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4" fontId="27" fillId="8" borderId="35" xfId="0" applyNumberFormat="1" applyFont="1" applyFill="1" applyBorder="1" applyAlignment="1">
      <alignment vertical="center"/>
    </xf>
    <xf numFmtId="164"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4"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4"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4"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4"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4"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4"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4"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Fill="1" applyBorder="1" applyAlignment="1">
      <alignment horizontal="center" vertical="center"/>
    </xf>
    <xf numFmtId="164" fontId="3" fillId="0" borderId="12" xfId="0" applyNumberFormat="1" applyFont="1" applyFill="1" applyBorder="1" applyAlignment="1">
      <alignment horizontal="center" vertical="center"/>
    </xf>
    <xf numFmtId="0" fontId="3" fillId="0" borderId="0" xfId="0" applyFont="1" applyFill="1" applyBorder="1" applyAlignment="1">
      <alignment horizontal="center" vertical="center"/>
    </xf>
    <xf numFmtId="0" fontId="3" fillId="0" borderId="29" xfId="0" applyFont="1" applyBorder="1" applyAlignment="1">
      <alignment horizontal="center" vertical="center"/>
    </xf>
    <xf numFmtId="168" fontId="40" fillId="12" borderId="20" xfId="0" applyNumberFormat="1" applyFont="1" applyFill="1" applyBorder="1" applyAlignment="1">
      <alignment horizontal="center" vertical="center"/>
    </xf>
    <xf numFmtId="164" fontId="3" fillId="0" borderId="0" xfId="0" applyNumberFormat="1" applyFont="1" applyBorder="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Fill="1" applyBorder="1" applyAlignment="1">
      <alignment horizontal="center" vertical="center"/>
    </xf>
    <xf numFmtId="1" fontId="40" fillId="12" borderId="12" xfId="0" applyNumberFormat="1" applyFont="1" applyFill="1" applyBorder="1" applyAlignment="1">
      <alignment horizontal="center" vertical="center"/>
    </xf>
    <xf numFmtId="0" fontId="26" fillId="0" borderId="20" xfId="0" applyFont="1" applyBorder="1" applyAlignment="1">
      <alignment horizontal="center" vertical="center"/>
    </xf>
    <xf numFmtId="0" fontId="26" fillId="0" borderId="20" xfId="0"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26" fillId="0" borderId="44" xfId="0" applyFont="1" applyFill="1" applyBorder="1"/>
    <xf numFmtId="0" fontId="49" fillId="0" borderId="0" xfId="0" applyFont="1"/>
    <xf numFmtId="0" fontId="26" fillId="0" borderId="20" xfId="0" applyFont="1" applyFill="1" applyBorder="1" applyAlignment="1">
      <alignment horizontal="center" vertical="center"/>
    </xf>
    <xf numFmtId="0" fontId="26" fillId="0" borderId="20" xfId="0" applyFont="1" applyBorder="1" applyAlignment="1">
      <alignment horizontal="center" vertical="center"/>
    </xf>
    <xf numFmtId="0" fontId="26" fillId="0" borderId="12" xfId="0" applyFont="1" applyBorder="1" applyAlignment="1">
      <alignment horizontal="left" vertical="center"/>
    </xf>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31" fillId="0" borderId="12" xfId="0" applyFont="1" applyBorder="1" applyAlignment="1">
      <alignment vertical="center" wrapText="1"/>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4" fillId="4" borderId="40" xfId="0" applyFont="1" applyFill="1" applyBorder="1" applyAlignment="1">
      <alignment horizontal="center" vertical="center"/>
    </xf>
    <xf numFmtId="0" fontId="26" fillId="0" borderId="31" xfId="0" applyFont="1" applyFill="1" applyBorder="1" applyAlignment="1">
      <alignment horizontal="center" vertical="center"/>
    </xf>
    <xf numFmtId="0" fontId="26" fillId="0" borderId="34" xfId="0" applyFont="1" applyFill="1" applyBorder="1" applyAlignment="1">
      <alignment horizontal="center" vertical="center"/>
    </xf>
    <xf numFmtId="0" fontId="26" fillId="0" borderId="20" xfId="0" applyFont="1" applyFill="1" applyBorder="1" applyAlignment="1">
      <alignment horizontal="center" vertical="center"/>
    </xf>
    <xf numFmtId="0" fontId="26" fillId="0" borderId="27" xfId="0" applyFont="1" applyBorder="1" applyAlignment="1">
      <alignment vertical="center" wrapText="1"/>
    </xf>
    <xf numFmtId="0" fontId="26" fillId="0" borderId="28" xfId="0" applyFont="1" applyBorder="1" applyAlignment="1">
      <alignment vertical="center" wrapText="1"/>
    </xf>
    <xf numFmtId="0" fontId="24" fillId="0" borderId="0" xfId="0" applyFont="1" applyAlignment="1">
      <alignment horizontal="center"/>
    </xf>
    <xf numFmtId="0" fontId="20" fillId="0" borderId="0" xfId="0" applyFont="1" applyAlignment="1">
      <alignment horizontal="center"/>
    </xf>
    <xf numFmtId="164" fontId="43" fillId="11" borderId="25" xfId="0" applyNumberFormat="1" applyFont="1" applyFill="1" applyBorder="1" applyAlignment="1">
      <alignment horizontal="center" vertical="center"/>
    </xf>
    <xf numFmtId="0" fontId="0" fillId="0" borderId="26" xfId="0" applyBorder="1" applyAlignment="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Border="1"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Comma" xfId="1" builtinId="3"/>
    <cellStyle name="Hyperlink" xfId="2" builtinId="8"/>
    <cellStyle name="Normal" xfId="0" builtinId="0"/>
    <cellStyle name="Normal 2" xfId="4" xr:uid="{00000000-0005-0000-0000-000003000000}"/>
    <cellStyle name="Percent"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112.87211071305887</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267.59492551772365</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63.581908102887972</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112.87211071305887</c:v>
                </c:pt>
                <c:pt idx="1">
                  <c:v>77.214408695121946</c:v>
                </c:pt>
                <c:pt idx="2">
                  <c:v>53.631682886759585</c:v>
                </c:pt>
                <c:pt idx="3">
                  <c:v>26.494234744556909</c:v>
                </c:pt>
                <c:pt idx="4">
                  <c:v>110.25459919128524</c:v>
                </c:pt>
                <c:pt idx="5">
                  <c:v>34.94617634908537</c:v>
                </c:pt>
                <c:pt idx="6">
                  <c:v>8.3205181783536606</c:v>
                </c:pt>
                <c:pt idx="7">
                  <c:v>9.7468927232142875</c:v>
                </c:pt>
                <c:pt idx="8">
                  <c:v>2.9319921199912899</c:v>
                </c:pt>
                <c:pt idx="9">
                  <c:v>7.6363287322433662</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4" val="0"/>
</file>

<file path=xl/ctrlProps/ctrlProp3.xml><?xml version="1.0" encoding="utf-8"?>
<formControlPr xmlns="http://schemas.microsoft.com/office/spreadsheetml/2009/9/main" objectType="Drop" dropLines="5" dropStyle="combo" dx="15" fmlaLink="$G$1" fmlaRange="$G$3:$G$7" noThreeD="1" sel="3"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4"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2"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514350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514350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514350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514350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9</xdr:row>
          <xdr:rowOff>19050</xdr:rowOff>
        </xdr:from>
        <xdr:to>
          <xdr:col>3</xdr:col>
          <xdr:colOff>514350</xdr:colOff>
          <xdr:row>10</xdr:row>
          <xdr:rowOff>19050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workbookViewId="0">
      <selection activeCell="G11" sqref="G11"/>
    </sheetView>
  </sheetViews>
  <sheetFormatPr defaultColWidth="8.7109375" defaultRowHeight="12.75"/>
  <cols>
    <col min="1" max="1" width="8.7109375" customWidth="1"/>
    <col min="2" max="2" width="15.28515625" customWidth="1"/>
    <col min="3" max="3" width="3.7109375" customWidth="1"/>
    <col min="4" max="4" width="59.42578125" customWidth="1"/>
  </cols>
  <sheetData>
    <row r="1" spans="1:4" ht="13.5" thickBot="1">
      <c r="A1" s="25"/>
    </row>
    <row r="2" spans="1:4">
      <c r="B2" s="7" t="s">
        <v>37</v>
      </c>
      <c r="C2" s="8" t="s">
        <v>46</v>
      </c>
      <c r="D2" s="9" t="s">
        <v>327</v>
      </c>
    </row>
    <row r="3" spans="1:4">
      <c r="B3" s="10" t="s">
        <v>38</v>
      </c>
      <c r="C3" s="11" t="s">
        <v>46</v>
      </c>
      <c r="D3" s="200">
        <v>1.02</v>
      </c>
    </row>
    <row r="4" spans="1:4">
      <c r="B4" s="10" t="s">
        <v>39</v>
      </c>
      <c r="C4" s="11" t="s">
        <v>46</v>
      </c>
      <c r="D4" s="12">
        <v>44137</v>
      </c>
    </row>
    <row r="5" spans="1:4">
      <c r="B5" s="10"/>
      <c r="C5" s="11"/>
      <c r="D5" s="13"/>
    </row>
    <row r="6" spans="1:4">
      <c r="B6" s="10" t="s">
        <v>41</v>
      </c>
      <c r="C6" s="11" t="s">
        <v>46</v>
      </c>
      <c r="D6" s="129" t="s">
        <v>204</v>
      </c>
    </row>
    <row r="7" spans="1:4">
      <c r="B7" s="10" t="s">
        <v>40</v>
      </c>
      <c r="C7" s="11" t="s">
        <v>46</v>
      </c>
      <c r="D7" s="13" t="s">
        <v>45</v>
      </c>
    </row>
    <row r="8" spans="1:4">
      <c r="B8" s="10"/>
      <c r="C8" s="11"/>
      <c r="D8" s="13"/>
    </row>
    <row r="9" spans="1:4" ht="25.5">
      <c r="B9" s="10" t="s">
        <v>42</v>
      </c>
      <c r="C9" s="11" t="s">
        <v>46</v>
      </c>
      <c r="D9" s="13" t="s">
        <v>328</v>
      </c>
    </row>
    <row r="10" spans="1:4">
      <c r="B10" s="10"/>
      <c r="C10" s="11"/>
      <c r="D10" s="229"/>
    </row>
    <row r="11" spans="1:4">
      <c r="B11" s="10" t="s">
        <v>57</v>
      </c>
      <c r="C11" s="11" t="s">
        <v>46</v>
      </c>
      <c r="D11" s="13"/>
    </row>
    <row r="12" spans="1:4">
      <c r="B12" s="10"/>
      <c r="C12" s="11"/>
      <c r="D12" s="13"/>
    </row>
    <row r="13" spans="1:4">
      <c r="B13" s="10" t="s">
        <v>43</v>
      </c>
      <c r="C13" s="11" t="s">
        <v>46</v>
      </c>
      <c r="D13" s="13"/>
    </row>
    <row r="14" spans="1:4">
      <c r="B14" s="10"/>
      <c r="C14" s="11"/>
      <c r="D14" s="13"/>
    </row>
    <row r="15" spans="1:4" ht="153">
      <c r="B15" s="10" t="s">
        <v>44</v>
      </c>
      <c r="C15" s="11" t="s">
        <v>46</v>
      </c>
      <c r="D15" s="13" t="s">
        <v>26</v>
      </c>
    </row>
    <row r="16" spans="1:4" ht="25.5">
      <c r="B16" s="10"/>
      <c r="C16" s="11"/>
      <c r="D16" s="13" t="s">
        <v>27</v>
      </c>
    </row>
    <row r="17" spans="1:4">
      <c r="B17" s="10"/>
      <c r="C17" s="11"/>
      <c r="D17" s="13"/>
    </row>
    <row r="18" spans="1:4">
      <c r="B18" s="10"/>
      <c r="C18" s="11"/>
      <c r="D18" s="13"/>
    </row>
    <row r="19" spans="1:4">
      <c r="B19" s="10"/>
      <c r="C19" s="11"/>
      <c r="D19" s="13" t="s">
        <v>321</v>
      </c>
    </row>
    <row r="20" spans="1:4" ht="13.5" thickBot="1">
      <c r="B20" s="14"/>
      <c r="C20" s="19"/>
      <c r="D20" s="15" t="s">
        <v>135</v>
      </c>
    </row>
    <row r="23" spans="1:4">
      <c r="A23" s="25"/>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workbookViewId="0">
      <selection activeCell="C3" sqref="C3"/>
    </sheetView>
  </sheetViews>
  <sheetFormatPr defaultColWidth="9.28515625" defaultRowHeight="12.75"/>
  <cols>
    <col min="1" max="1" width="4.28515625" style="20" customWidth="1"/>
    <col min="2" max="2" width="5.42578125" style="20" customWidth="1"/>
    <col min="3" max="3" width="117" style="20" customWidth="1"/>
    <col min="4" max="4" width="4.42578125" style="20" customWidth="1"/>
    <col min="5" max="16384" width="9.28515625" style="20"/>
  </cols>
  <sheetData>
    <row r="1" spans="1:3">
      <c r="A1" s="25"/>
      <c r="C1" s="25"/>
    </row>
    <row r="4" spans="1:3" ht="22.15" customHeight="1">
      <c r="A4" s="47" t="s">
        <v>136</v>
      </c>
      <c r="B4" s="32"/>
      <c r="C4" s="33"/>
    </row>
    <row r="5" spans="1:3" ht="15.75">
      <c r="B5" s="22" t="s">
        <v>210</v>
      </c>
    </row>
    <row r="6" spans="1:3" ht="15.75">
      <c r="B6" s="22"/>
      <c r="C6" s="20" t="s">
        <v>103</v>
      </c>
    </row>
    <row r="7" spans="1:3" s="23" customFormat="1">
      <c r="C7" s="21" t="s">
        <v>238</v>
      </c>
    </row>
    <row r="8" spans="1:3" s="23" customFormat="1" ht="25.5">
      <c r="C8" s="21" t="s">
        <v>239</v>
      </c>
    </row>
    <row r="9" spans="1:3" s="23" customFormat="1" ht="25.5">
      <c r="C9" s="21" t="s">
        <v>240</v>
      </c>
    </row>
    <row r="10" spans="1:3" s="23" customFormat="1">
      <c r="C10" s="21"/>
    </row>
    <row r="11" spans="1:3" s="23" customFormat="1" ht="15.75">
      <c r="B11" s="22" t="s">
        <v>331</v>
      </c>
    </row>
    <row r="12" spans="1:3" s="23" customFormat="1" ht="15.75" customHeight="1">
      <c r="C12" s="21" t="s">
        <v>242</v>
      </c>
    </row>
    <row r="13" spans="1:3" s="23" customFormat="1" ht="15.75" customHeight="1">
      <c r="C13" s="21" t="s">
        <v>244</v>
      </c>
    </row>
    <row r="14" spans="1:3" s="23" customFormat="1" ht="15.75" customHeight="1">
      <c r="C14" s="21" t="s">
        <v>243</v>
      </c>
    </row>
    <row r="15" spans="1:3" s="23" customFormat="1" ht="15.75" customHeight="1">
      <c r="C15" s="21" t="s">
        <v>333</v>
      </c>
    </row>
    <row r="16" spans="1:3" s="23" customFormat="1" ht="15.75" customHeight="1">
      <c r="C16" s="21" t="s">
        <v>329</v>
      </c>
    </row>
    <row r="17" spans="2:6">
      <c r="C17" s="21"/>
    </row>
    <row r="18" spans="2:6" ht="15.75">
      <c r="B18" s="22" t="s">
        <v>330</v>
      </c>
      <c r="C18" s="21"/>
    </row>
    <row r="19" spans="2:6" s="23" customFormat="1">
      <c r="C19" s="21" t="s">
        <v>241</v>
      </c>
    </row>
    <row r="20" spans="2:6" s="23" customFormat="1">
      <c r="C20" s="21" t="s">
        <v>5</v>
      </c>
    </row>
    <row r="21" spans="2:6" s="23" customFormat="1" ht="18" customHeight="1">
      <c r="C21" s="21" t="s">
        <v>137</v>
      </c>
    </row>
    <row r="22" spans="2:6" s="23" customFormat="1" ht="18" customHeight="1">
      <c r="C22" s="21" t="s">
        <v>295</v>
      </c>
      <c r="F22" s="23" t="s">
        <v>250</v>
      </c>
    </row>
    <row r="23" spans="2:6" s="23" customFormat="1" ht="18" customHeight="1">
      <c r="C23" s="21" t="s">
        <v>296</v>
      </c>
    </row>
    <row r="24" spans="2:6" s="23" customFormat="1" ht="18" customHeight="1">
      <c r="C24" s="21" t="s">
        <v>297</v>
      </c>
    </row>
    <row r="25" spans="2:6" s="23" customFormat="1" ht="18" customHeight="1">
      <c r="C25" s="21" t="s">
        <v>298</v>
      </c>
    </row>
    <row r="26" spans="2:6" s="23" customFormat="1" ht="29.25" customHeight="1">
      <c r="C26" s="173" t="s">
        <v>299</v>
      </c>
    </row>
    <row r="27" spans="2:6" s="23" customFormat="1" ht="16.5" customHeight="1">
      <c r="C27" s="21" t="s">
        <v>15</v>
      </c>
    </row>
    <row r="28" spans="2:6" s="23" customFormat="1" ht="30.75" customHeight="1">
      <c r="C28" s="21" t="s">
        <v>245</v>
      </c>
    </row>
    <row r="29" spans="2:6" s="23" customFormat="1" ht="30.75" customHeight="1">
      <c r="C29" s="21" t="s">
        <v>246</v>
      </c>
    </row>
    <row r="30" spans="2:6" s="23" customFormat="1" ht="30.75" customHeight="1">
      <c r="C30" s="21" t="s">
        <v>247</v>
      </c>
    </row>
    <row r="31" spans="2:6" s="23" customFormat="1" ht="30.75" customHeight="1">
      <c r="C31" s="21" t="s">
        <v>88</v>
      </c>
    </row>
    <row r="32" spans="2:6" s="23" customFormat="1" ht="30.75" customHeight="1">
      <c r="C32" s="21" t="s">
        <v>89</v>
      </c>
    </row>
    <row r="33" spans="2:3" s="23" customFormat="1" ht="18" customHeight="1">
      <c r="C33" s="21" t="s">
        <v>138</v>
      </c>
    </row>
    <row r="34" spans="2:3" s="23" customFormat="1" ht="30.75" customHeight="1">
      <c r="C34" s="21" t="s">
        <v>139</v>
      </c>
    </row>
    <row r="35" spans="2:3" s="23" customFormat="1" ht="30.75" customHeight="1">
      <c r="C35" s="21" t="s">
        <v>140</v>
      </c>
    </row>
    <row r="36" spans="2:3">
      <c r="C36" s="21"/>
    </row>
    <row r="37" spans="2:3" ht="15.75">
      <c r="B37" s="22" t="s">
        <v>7</v>
      </c>
      <c r="C37" s="21"/>
    </row>
    <row r="38" spans="2:3" ht="38.25">
      <c r="C38" s="21" t="s">
        <v>141</v>
      </c>
    </row>
    <row r="39" spans="2:3">
      <c r="C39" s="21"/>
    </row>
    <row r="40" spans="2:3" ht="15.75">
      <c r="B40" s="22" t="s">
        <v>8</v>
      </c>
      <c r="C40" s="21"/>
    </row>
    <row r="41" spans="2:3" ht="63.75">
      <c r="C41" s="21" t="s">
        <v>248</v>
      </c>
    </row>
    <row r="42" spans="2:3">
      <c r="C42" s="21"/>
    </row>
    <row r="43" spans="2:3">
      <c r="C43" s="21"/>
    </row>
    <row r="44" spans="2:3">
      <c r="C44" s="21"/>
    </row>
    <row r="45" spans="2:3">
      <c r="C45" s="21"/>
    </row>
    <row r="46" spans="2:3">
      <c r="C46" s="21"/>
    </row>
    <row r="47" spans="2:3">
      <c r="C47" s="21"/>
    </row>
    <row r="48" spans="2:3">
      <c r="C48" s="21"/>
    </row>
    <row r="49" spans="3:3">
      <c r="C49" s="21"/>
    </row>
    <row r="50" spans="3:3">
      <c r="C50" s="21"/>
    </row>
    <row r="51" spans="3:3">
      <c r="C51" s="21"/>
    </row>
    <row r="52" spans="3:3">
      <c r="C52" s="21"/>
    </row>
    <row r="53" spans="3:3">
      <c r="C53" s="21"/>
    </row>
    <row r="54" spans="3:3">
      <c r="C54" s="21"/>
    </row>
    <row r="55" spans="3:3">
      <c r="C55" s="21"/>
    </row>
    <row r="56" spans="3:3">
      <c r="C56" s="21"/>
    </row>
    <row r="57" spans="3:3">
      <c r="C57" s="21"/>
    </row>
    <row r="58" spans="3:3">
      <c r="C58" s="21"/>
    </row>
    <row r="59" spans="3:3">
      <c r="C59" s="21"/>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G1" workbookViewId="0">
      <selection activeCell="AM109" sqref="AM109"/>
    </sheetView>
  </sheetViews>
  <sheetFormatPr defaultColWidth="8.7109375" defaultRowHeight="12.75"/>
  <cols>
    <col min="1" max="1" width="15.28515625" customWidth="1"/>
    <col min="2" max="2" width="38.28515625" style="29" customWidth="1"/>
    <col min="3" max="3" width="11.7109375" style="4" customWidth="1"/>
    <col min="4" max="4" width="9.28515625" style="4" customWidth="1"/>
    <col min="5" max="35" width="9.28515625" style="30" customWidth="1"/>
    <col min="36" max="36" width="7.7109375" style="30" customWidth="1"/>
    <col min="37" max="37" width="6.7109375" customWidth="1"/>
    <col min="47" max="47" width="7.28515625" customWidth="1"/>
    <col min="58" max="58" width="3.28515625" customWidth="1"/>
  </cols>
  <sheetData>
    <row r="1" spans="1:59">
      <c r="A1" s="25"/>
      <c r="B1"/>
      <c r="C1"/>
      <c r="D1"/>
      <c r="L1"/>
      <c r="M1"/>
    </row>
    <row r="2" spans="1:59">
      <c r="B2"/>
      <c r="C2"/>
      <c r="D2"/>
      <c r="L2"/>
      <c r="M2"/>
    </row>
    <row r="3" spans="1:59">
      <c r="B3"/>
      <c r="C3"/>
      <c r="D3"/>
      <c r="L3"/>
      <c r="M3"/>
    </row>
    <row r="4" spans="1:59" ht="17.100000000000001" customHeight="1">
      <c r="A4" s="39"/>
      <c r="B4" s="40"/>
      <c r="C4" s="39"/>
      <c r="D4" s="281" t="s">
        <v>161</v>
      </c>
      <c r="E4" s="281"/>
      <c r="F4" s="281"/>
      <c r="G4" s="281"/>
      <c r="H4" s="281"/>
      <c r="I4" s="281"/>
      <c r="J4" s="281"/>
      <c r="K4" s="281"/>
      <c r="L4" s="281"/>
      <c r="M4" s="281"/>
      <c r="N4" s="41"/>
      <c r="O4" s="281" t="s">
        <v>205</v>
      </c>
      <c r="P4" s="281"/>
      <c r="Q4" s="281"/>
      <c r="R4" s="281"/>
      <c r="S4" s="281"/>
      <c r="T4" s="281"/>
      <c r="U4" s="281"/>
      <c r="V4" s="281"/>
      <c r="W4" s="281"/>
      <c r="X4" s="281"/>
      <c r="Y4" s="41"/>
      <c r="Z4" s="281" t="s">
        <v>206</v>
      </c>
      <c r="AA4" s="281"/>
      <c r="AB4" s="281"/>
      <c r="AC4" s="281"/>
      <c r="AD4" s="281"/>
      <c r="AE4" s="281"/>
      <c r="AF4" s="281"/>
      <c r="AG4" s="281"/>
      <c r="AH4" s="281"/>
      <c r="AI4" s="281"/>
      <c r="AJ4" s="41"/>
      <c r="AK4" s="281" t="s">
        <v>316</v>
      </c>
      <c r="AL4" s="281"/>
      <c r="AM4" s="281"/>
      <c r="AN4" s="281"/>
      <c r="AO4" s="281"/>
      <c r="AP4" s="281"/>
      <c r="AQ4" s="281"/>
      <c r="AR4" s="281"/>
      <c r="AS4" s="281"/>
      <c r="AT4" s="281"/>
      <c r="AU4" s="41"/>
      <c r="AV4" s="281" t="s">
        <v>317</v>
      </c>
      <c r="AW4" s="281"/>
      <c r="AX4" s="281"/>
      <c r="AY4" s="281"/>
      <c r="AZ4" s="281"/>
      <c r="BA4" s="281"/>
      <c r="BB4" s="281"/>
      <c r="BC4" s="281"/>
      <c r="BD4" s="281"/>
      <c r="BE4" s="281"/>
      <c r="BF4" s="41"/>
      <c r="BG4" s="34"/>
    </row>
    <row r="5" spans="1:59" ht="17.100000000000001" customHeight="1">
      <c r="A5" s="63" t="s">
        <v>51</v>
      </c>
      <c r="B5" s="64" t="s">
        <v>52</v>
      </c>
      <c r="C5" s="63" t="s">
        <v>52</v>
      </c>
      <c r="D5" s="65" t="s">
        <v>256</v>
      </c>
      <c r="E5" s="65" t="s">
        <v>255</v>
      </c>
      <c r="F5" s="65" t="s">
        <v>254</v>
      </c>
      <c r="G5" s="65" t="s">
        <v>253</v>
      </c>
      <c r="H5" s="65" t="s">
        <v>252</v>
      </c>
      <c r="I5" s="65" t="s">
        <v>251</v>
      </c>
      <c r="J5" s="65" t="s">
        <v>209</v>
      </c>
      <c r="K5" s="65" t="s">
        <v>207</v>
      </c>
      <c r="L5" s="65" t="s">
        <v>208</v>
      </c>
      <c r="M5" s="65" t="s">
        <v>203</v>
      </c>
      <c r="N5" s="66"/>
      <c r="O5" s="65" t="s">
        <v>256</v>
      </c>
      <c r="P5" s="65" t="s">
        <v>255</v>
      </c>
      <c r="Q5" s="65" t="s">
        <v>254</v>
      </c>
      <c r="R5" s="65" t="s">
        <v>253</v>
      </c>
      <c r="S5" s="65" t="s">
        <v>252</v>
      </c>
      <c r="T5" s="65" t="s">
        <v>251</v>
      </c>
      <c r="U5" s="65" t="s">
        <v>209</v>
      </c>
      <c r="V5" s="65" t="s">
        <v>207</v>
      </c>
      <c r="W5" s="65" t="s">
        <v>208</v>
      </c>
      <c r="X5" s="65" t="s">
        <v>203</v>
      </c>
      <c r="Y5" s="66"/>
      <c r="Z5" s="65" t="s">
        <v>256</v>
      </c>
      <c r="AA5" s="65" t="s">
        <v>255</v>
      </c>
      <c r="AB5" s="65" t="s">
        <v>254</v>
      </c>
      <c r="AC5" s="65" t="s">
        <v>253</v>
      </c>
      <c r="AD5" s="65" t="s">
        <v>252</v>
      </c>
      <c r="AE5" s="65" t="s">
        <v>251</v>
      </c>
      <c r="AF5" s="65" t="s">
        <v>209</v>
      </c>
      <c r="AG5" s="65" t="s">
        <v>207</v>
      </c>
      <c r="AH5" s="65" t="s">
        <v>208</v>
      </c>
      <c r="AI5" s="65" t="s">
        <v>203</v>
      </c>
      <c r="AJ5" s="66"/>
      <c r="AK5" s="65" t="s">
        <v>256</v>
      </c>
      <c r="AL5" s="65" t="s">
        <v>255</v>
      </c>
      <c r="AM5" s="65" t="s">
        <v>254</v>
      </c>
      <c r="AN5" s="65" t="s">
        <v>253</v>
      </c>
      <c r="AO5" s="65" t="s">
        <v>252</v>
      </c>
      <c r="AP5" s="65" t="s">
        <v>251</v>
      </c>
      <c r="AQ5" s="65" t="s">
        <v>209</v>
      </c>
      <c r="AR5" s="65" t="s">
        <v>207</v>
      </c>
      <c r="AS5" s="65" t="s">
        <v>208</v>
      </c>
      <c r="AT5" s="65" t="s">
        <v>203</v>
      </c>
      <c r="AU5" s="66"/>
      <c r="AV5" s="65" t="s">
        <v>256</v>
      </c>
      <c r="AW5" s="65" t="s">
        <v>255</v>
      </c>
      <c r="AX5" s="65" t="s">
        <v>254</v>
      </c>
      <c r="AY5" s="65" t="s">
        <v>253</v>
      </c>
      <c r="AZ5" s="65" t="s">
        <v>252</v>
      </c>
      <c r="BA5" s="65" t="s">
        <v>251</v>
      </c>
      <c r="BB5" s="65" t="s">
        <v>209</v>
      </c>
      <c r="BC5" s="65" t="s">
        <v>207</v>
      </c>
      <c r="BD5" s="65" t="s">
        <v>208</v>
      </c>
      <c r="BE5" s="65" t="s">
        <v>203</v>
      </c>
      <c r="BF5" s="66"/>
      <c r="BG5" s="34"/>
    </row>
    <row r="6" spans="1:59" ht="15">
      <c r="A6" s="53"/>
      <c r="B6" s="266" t="s">
        <v>230</v>
      </c>
      <c r="C6" s="266"/>
      <c r="D6" s="67">
        <v>1.4350000000000001</v>
      </c>
      <c r="E6" s="67">
        <v>1.4350000000000001</v>
      </c>
      <c r="F6" s="67">
        <v>1.4350000000000001</v>
      </c>
      <c r="G6" s="67">
        <v>1.45</v>
      </c>
      <c r="H6" s="67">
        <v>1.4350000000000001</v>
      </c>
      <c r="I6" s="67">
        <v>1.4350000000000001</v>
      </c>
      <c r="J6" s="67">
        <v>1.4350000000000001</v>
      </c>
      <c r="K6" s="67">
        <v>1.4350000000000001</v>
      </c>
      <c r="L6" s="67">
        <v>1.4350000000000001</v>
      </c>
      <c r="M6" s="67">
        <v>1.4350000000000001</v>
      </c>
      <c r="N6" s="68"/>
      <c r="O6" s="67">
        <v>1.4350000000000001</v>
      </c>
      <c r="P6" s="67">
        <v>1.4350000000000001</v>
      </c>
      <c r="Q6" s="67">
        <v>1.4350000000000001</v>
      </c>
      <c r="R6" s="67">
        <v>1.4350000000000001</v>
      </c>
      <c r="S6" s="67">
        <v>1.4350000000000001</v>
      </c>
      <c r="T6" s="67">
        <v>1.4350000000000001</v>
      </c>
      <c r="U6" s="67">
        <v>1.4350000000000001</v>
      </c>
      <c r="V6" s="67">
        <v>1.4350000000000001</v>
      </c>
      <c r="W6" s="67">
        <v>1.4350000000000001</v>
      </c>
      <c r="X6" s="67">
        <v>1.4350000000000001</v>
      </c>
      <c r="Y6" s="68"/>
      <c r="Z6" s="67">
        <v>1.4350000000000001</v>
      </c>
      <c r="AA6" s="67">
        <v>1.4350000000000001</v>
      </c>
      <c r="AB6" s="67">
        <v>1.4350000000000001</v>
      </c>
      <c r="AC6" s="67">
        <v>1.45</v>
      </c>
      <c r="AD6" s="67">
        <v>1.4350000000000001</v>
      </c>
      <c r="AE6" s="67">
        <v>1.4350000000000001</v>
      </c>
      <c r="AF6" s="67">
        <v>1.4350000000000001</v>
      </c>
      <c r="AG6" s="67">
        <v>1.4350000000000001</v>
      </c>
      <c r="AH6" s="67">
        <v>1.4350000000000001</v>
      </c>
      <c r="AI6" s="67">
        <v>1.4350000000000001</v>
      </c>
      <c r="AJ6" s="68"/>
      <c r="AK6" s="67">
        <v>1.4350000000000001</v>
      </c>
      <c r="AL6" s="67">
        <v>1.4350000000000001</v>
      </c>
      <c r="AM6" s="67">
        <v>1.4350000000000001</v>
      </c>
      <c r="AN6" s="67">
        <v>1.4350000000000001</v>
      </c>
      <c r="AO6" s="67">
        <v>1.4350000000000001</v>
      </c>
      <c r="AP6" s="67">
        <v>1.4350000000000001</v>
      </c>
      <c r="AQ6" s="67">
        <v>1.4350000000000001</v>
      </c>
      <c r="AR6" s="67">
        <v>1.4350000000000001</v>
      </c>
      <c r="AS6" s="67">
        <v>1.4350000000000001</v>
      </c>
      <c r="AT6" s="67">
        <v>1.4350000000000001</v>
      </c>
      <c r="AU6" s="68"/>
      <c r="AV6" s="67">
        <v>1.4350000000000001</v>
      </c>
      <c r="AW6" s="67">
        <v>1.4350000000000001</v>
      </c>
      <c r="AX6" s="67">
        <v>1.4350000000000001</v>
      </c>
      <c r="AY6" s="67">
        <v>1.4350000000000001</v>
      </c>
      <c r="AZ6" s="67">
        <v>1.4350000000000001</v>
      </c>
      <c r="BA6" s="67">
        <v>1.4350000000000001</v>
      </c>
      <c r="BB6" s="67">
        <v>1.4350000000000001</v>
      </c>
      <c r="BC6" s="67">
        <v>1.4350000000000001</v>
      </c>
      <c r="BD6" s="67">
        <v>1.4350000000000001</v>
      </c>
      <c r="BE6" s="67">
        <v>1.4350000000000001</v>
      </c>
      <c r="BF6" s="68"/>
      <c r="BG6" s="37" t="s">
        <v>12</v>
      </c>
    </row>
    <row r="7" spans="1:59" ht="15">
      <c r="A7" s="53"/>
      <c r="B7" s="266" t="s">
        <v>231</v>
      </c>
      <c r="C7" s="266"/>
      <c r="D7" s="67">
        <v>1.2829999999999999</v>
      </c>
      <c r="E7" s="67">
        <v>1.2829999999999999</v>
      </c>
      <c r="F7" s="67">
        <v>1.2829999999999999</v>
      </c>
      <c r="G7" s="67">
        <v>1.2829999999999999</v>
      </c>
      <c r="H7" s="67">
        <v>1.2829999999999999</v>
      </c>
      <c r="I7" s="67">
        <v>1.2829999999999999</v>
      </c>
      <c r="J7" s="67">
        <v>1.2829999999999999</v>
      </c>
      <c r="K7" s="67">
        <v>1.2829999999999999</v>
      </c>
      <c r="L7" s="67">
        <v>1.2829999999999999</v>
      </c>
      <c r="M7" s="67">
        <v>1.2829999999999999</v>
      </c>
      <c r="N7" s="68"/>
      <c r="O7" s="67">
        <v>1.2829999999999999</v>
      </c>
      <c r="P7" s="67">
        <v>1.2829999999999999</v>
      </c>
      <c r="Q7" s="67">
        <v>1.2829999999999999</v>
      </c>
      <c r="R7" s="67">
        <v>1.2829999999999999</v>
      </c>
      <c r="S7" s="67">
        <v>1.2829999999999999</v>
      </c>
      <c r="T7" s="67">
        <v>1.2829999999999999</v>
      </c>
      <c r="U7" s="67">
        <v>1.2829999999999999</v>
      </c>
      <c r="V7" s="67">
        <v>1.2829999999999999</v>
      </c>
      <c r="W7" s="67">
        <v>1.2829999999999999</v>
      </c>
      <c r="X7" s="67">
        <v>1.2829999999999999</v>
      </c>
      <c r="Y7" s="68"/>
      <c r="Z7" s="67">
        <v>1.2829999999999999</v>
      </c>
      <c r="AA7" s="67">
        <v>1.2829999999999999</v>
      </c>
      <c r="AB7" s="67">
        <v>1.2829999999999999</v>
      </c>
      <c r="AC7" s="67">
        <v>1.2829999999999999</v>
      </c>
      <c r="AD7" s="67">
        <v>1.2829999999999999</v>
      </c>
      <c r="AE7" s="67">
        <v>1.2829999999999999</v>
      </c>
      <c r="AF7" s="67">
        <v>1.2829999999999999</v>
      </c>
      <c r="AG7" s="67">
        <v>1.2829999999999999</v>
      </c>
      <c r="AH7" s="67">
        <v>1.2829999999999999</v>
      </c>
      <c r="AI7" s="67">
        <v>1.2829999999999999</v>
      </c>
      <c r="AJ7" s="68"/>
      <c r="AK7" s="67">
        <v>1.2829999999999999</v>
      </c>
      <c r="AL7" s="67">
        <v>1.2829999999999999</v>
      </c>
      <c r="AM7" s="67">
        <v>1.2829999999999999</v>
      </c>
      <c r="AN7" s="67">
        <v>1.2829999999999999</v>
      </c>
      <c r="AO7" s="67">
        <v>1.2829999999999999</v>
      </c>
      <c r="AP7" s="67">
        <v>1.2829999999999999</v>
      </c>
      <c r="AQ7" s="67">
        <v>1.2829999999999999</v>
      </c>
      <c r="AR7" s="67">
        <v>1.2829999999999999</v>
      </c>
      <c r="AS7" s="67">
        <v>1.2829999999999999</v>
      </c>
      <c r="AT7" s="67">
        <v>1.2829999999999999</v>
      </c>
      <c r="AU7" s="68"/>
      <c r="AV7" s="67">
        <v>1.2829999999999999</v>
      </c>
      <c r="AW7" s="67">
        <v>1.2829999999999999</v>
      </c>
      <c r="AX7" s="67">
        <v>1.2829999999999999</v>
      </c>
      <c r="AY7" s="67">
        <v>1.2829999999999999</v>
      </c>
      <c r="AZ7" s="67">
        <v>1.2829999999999999</v>
      </c>
      <c r="BA7" s="67">
        <v>1.2829999999999999</v>
      </c>
      <c r="BB7" s="67">
        <v>1.2829999999999999</v>
      </c>
      <c r="BC7" s="67">
        <v>1.2829999999999999</v>
      </c>
      <c r="BD7" s="67">
        <v>1.2829999999999999</v>
      </c>
      <c r="BE7" s="67">
        <v>1.2829999999999999</v>
      </c>
      <c r="BF7" s="68"/>
      <c r="BG7" s="37" t="s">
        <v>12</v>
      </c>
    </row>
    <row r="8" spans="1:59" ht="15">
      <c r="A8" s="282"/>
      <c r="B8" s="283"/>
      <c r="C8" s="284"/>
      <c r="D8" s="127"/>
      <c r="E8" s="127"/>
      <c r="F8" s="127"/>
      <c r="G8" s="127"/>
      <c r="H8" s="127"/>
      <c r="I8" s="127"/>
      <c r="J8" s="127"/>
      <c r="K8" s="127"/>
      <c r="L8" s="69"/>
      <c r="M8" s="69"/>
      <c r="N8" s="68"/>
      <c r="O8" s="127"/>
      <c r="P8" s="127"/>
      <c r="Q8" s="127"/>
      <c r="R8" s="127"/>
      <c r="S8" s="127"/>
      <c r="T8" s="127"/>
      <c r="U8" s="127"/>
      <c r="V8" s="127"/>
      <c r="W8" s="127"/>
      <c r="X8" s="69"/>
      <c r="Y8" s="68"/>
      <c r="Z8" s="127"/>
      <c r="AA8" s="127"/>
      <c r="AB8" s="127"/>
      <c r="AC8" s="261"/>
      <c r="AD8" s="127"/>
      <c r="AE8" s="127"/>
      <c r="AF8" s="127"/>
      <c r="AG8" s="127"/>
      <c r="AH8" s="69"/>
      <c r="AI8" s="69"/>
      <c r="AJ8" s="68"/>
      <c r="AK8" s="251"/>
      <c r="AL8" s="251"/>
      <c r="AM8" s="251"/>
      <c r="AN8" s="251"/>
      <c r="AO8" s="251"/>
      <c r="AP8" s="251"/>
      <c r="AQ8" s="251"/>
      <c r="AR8" s="251"/>
      <c r="AS8" s="69"/>
      <c r="AT8" s="69"/>
      <c r="AU8" s="68"/>
      <c r="AV8" s="251"/>
      <c r="AW8" s="251"/>
      <c r="AX8" s="251"/>
      <c r="AY8" s="251"/>
      <c r="AZ8" s="251"/>
      <c r="BA8" s="251"/>
      <c r="BB8" s="251"/>
      <c r="BC8" s="251"/>
      <c r="BD8" s="69"/>
      <c r="BE8" s="69"/>
      <c r="BF8" s="68"/>
      <c r="BG8" s="38"/>
    </row>
    <row r="9" spans="1:59" ht="14.1" customHeight="1">
      <c r="A9" s="263" t="s">
        <v>220</v>
      </c>
      <c r="B9" s="267" t="s">
        <v>142</v>
      </c>
      <c r="C9" s="70" t="s">
        <v>98</v>
      </c>
      <c r="D9" s="151" t="s">
        <v>257</v>
      </c>
      <c r="E9" s="151">
        <v>46</v>
      </c>
      <c r="F9" s="151" t="s">
        <v>257</v>
      </c>
      <c r="G9" s="151">
        <v>62</v>
      </c>
      <c r="H9" s="151" t="s">
        <v>257</v>
      </c>
      <c r="I9" s="151">
        <v>42</v>
      </c>
      <c r="J9" s="151">
        <v>41</v>
      </c>
      <c r="K9" s="151">
        <v>39</v>
      </c>
      <c r="L9" s="151" t="s">
        <v>257</v>
      </c>
      <c r="M9" s="151" t="s">
        <v>257</v>
      </c>
      <c r="N9" s="73"/>
      <c r="O9" s="151" t="s">
        <v>257</v>
      </c>
      <c r="P9" s="151">
        <v>46</v>
      </c>
      <c r="Q9" s="151" t="s">
        <v>257</v>
      </c>
      <c r="R9" s="151">
        <v>43</v>
      </c>
      <c r="S9" s="151" t="s">
        <v>257</v>
      </c>
      <c r="T9" s="151">
        <v>42</v>
      </c>
      <c r="U9" s="151">
        <v>41</v>
      </c>
      <c r="V9" s="151">
        <v>39</v>
      </c>
      <c r="W9" s="151" t="s">
        <v>318</v>
      </c>
      <c r="X9" s="151" t="s">
        <v>257</v>
      </c>
      <c r="Y9" s="73"/>
      <c r="Z9" s="151" t="s">
        <v>257</v>
      </c>
      <c r="AA9" s="151">
        <v>31</v>
      </c>
      <c r="AB9" s="151" t="s">
        <v>257</v>
      </c>
      <c r="AC9" s="151">
        <v>62</v>
      </c>
      <c r="AD9" s="151" t="s">
        <v>257</v>
      </c>
      <c r="AE9" s="230">
        <v>28</v>
      </c>
      <c r="AF9" s="151" t="s">
        <v>257</v>
      </c>
      <c r="AG9" s="151" t="s">
        <v>257</v>
      </c>
      <c r="AH9" s="151" t="s">
        <v>257</v>
      </c>
      <c r="AI9" s="151" t="s">
        <v>257</v>
      </c>
      <c r="AJ9" s="73"/>
      <c r="AK9" s="151" t="s">
        <v>257</v>
      </c>
      <c r="AL9" s="151" t="s">
        <v>257</v>
      </c>
      <c r="AM9" s="71">
        <v>69</v>
      </c>
      <c r="AN9" s="71">
        <v>69</v>
      </c>
      <c r="AO9" s="230">
        <v>67</v>
      </c>
      <c r="AP9" s="230">
        <v>67</v>
      </c>
      <c r="AQ9" s="151" t="s">
        <v>257</v>
      </c>
      <c r="AR9" s="151" t="s">
        <v>257</v>
      </c>
      <c r="AS9" s="151" t="s">
        <v>257</v>
      </c>
      <c r="AT9" s="151" t="s">
        <v>257</v>
      </c>
      <c r="AU9" s="73"/>
      <c r="AV9" s="151" t="s">
        <v>257</v>
      </c>
      <c r="AW9" s="151" t="s">
        <v>257</v>
      </c>
      <c r="AX9" s="230" t="s">
        <v>318</v>
      </c>
      <c r="AY9" s="230" t="s">
        <v>318</v>
      </c>
      <c r="AZ9" s="230" t="s">
        <v>318</v>
      </c>
      <c r="BA9" s="230" t="s">
        <v>318</v>
      </c>
      <c r="BB9" s="151" t="s">
        <v>257</v>
      </c>
      <c r="BC9" s="151" t="s">
        <v>257</v>
      </c>
      <c r="BD9" s="151" t="s">
        <v>257</v>
      </c>
      <c r="BE9" s="151" t="s">
        <v>257</v>
      </c>
      <c r="BF9" s="73"/>
      <c r="BG9" s="37" t="s">
        <v>13</v>
      </c>
    </row>
    <row r="10" spans="1:59" ht="14.1" customHeight="1">
      <c r="A10" s="263"/>
      <c r="B10" s="268"/>
      <c r="C10" s="70" t="s">
        <v>99</v>
      </c>
      <c r="D10" s="151" t="s">
        <v>257</v>
      </c>
      <c r="E10" s="151">
        <v>55</v>
      </c>
      <c r="F10" s="151" t="s">
        <v>257</v>
      </c>
      <c r="G10" s="151">
        <v>73</v>
      </c>
      <c r="H10" s="151" t="s">
        <v>257</v>
      </c>
      <c r="I10" s="151">
        <v>49</v>
      </c>
      <c r="J10" s="151">
        <v>48</v>
      </c>
      <c r="K10" s="151">
        <v>46</v>
      </c>
      <c r="L10" s="151" t="s">
        <v>257</v>
      </c>
      <c r="M10" s="151" t="s">
        <v>257</v>
      </c>
      <c r="N10" s="73"/>
      <c r="O10" s="151" t="s">
        <v>257</v>
      </c>
      <c r="P10" s="151">
        <v>55</v>
      </c>
      <c r="Q10" s="151" t="s">
        <v>257</v>
      </c>
      <c r="R10" s="151">
        <v>51</v>
      </c>
      <c r="S10" s="151" t="s">
        <v>257</v>
      </c>
      <c r="T10" s="151">
        <v>49</v>
      </c>
      <c r="U10" s="151">
        <v>48</v>
      </c>
      <c r="V10" s="151">
        <v>46</v>
      </c>
      <c r="W10" s="151" t="s">
        <v>257</v>
      </c>
      <c r="X10" s="151" t="s">
        <v>257</v>
      </c>
      <c r="Y10" s="73"/>
      <c r="Z10" s="151" t="s">
        <v>257</v>
      </c>
      <c r="AA10" s="151">
        <v>34</v>
      </c>
      <c r="AB10" s="151" t="s">
        <v>257</v>
      </c>
      <c r="AC10" s="151">
        <v>73</v>
      </c>
      <c r="AD10" s="151" t="s">
        <v>257</v>
      </c>
      <c r="AE10" s="230">
        <v>32</v>
      </c>
      <c r="AF10" s="151" t="s">
        <v>257</v>
      </c>
      <c r="AG10" s="151" t="s">
        <v>257</v>
      </c>
      <c r="AH10" s="151" t="s">
        <v>257</v>
      </c>
      <c r="AI10" s="151" t="s">
        <v>257</v>
      </c>
      <c r="AJ10" s="73"/>
      <c r="AK10" s="151" t="s">
        <v>257</v>
      </c>
      <c r="AL10" s="151" t="s">
        <v>257</v>
      </c>
      <c r="AM10" s="71">
        <v>69</v>
      </c>
      <c r="AN10" s="71">
        <v>69</v>
      </c>
      <c r="AO10" s="230">
        <v>67</v>
      </c>
      <c r="AP10" s="230">
        <v>67</v>
      </c>
      <c r="AQ10" s="151" t="s">
        <v>257</v>
      </c>
      <c r="AR10" s="151" t="s">
        <v>257</v>
      </c>
      <c r="AS10" s="151" t="s">
        <v>257</v>
      </c>
      <c r="AT10" s="151" t="s">
        <v>257</v>
      </c>
      <c r="AU10" s="73"/>
      <c r="AV10" s="151" t="s">
        <v>257</v>
      </c>
      <c r="AW10" s="151" t="s">
        <v>257</v>
      </c>
      <c r="AX10" s="230">
        <v>85</v>
      </c>
      <c r="AY10" s="230">
        <v>85</v>
      </c>
      <c r="AZ10" s="230">
        <v>83</v>
      </c>
      <c r="BA10" s="230">
        <v>83</v>
      </c>
      <c r="BB10" s="151" t="s">
        <v>257</v>
      </c>
      <c r="BC10" s="151" t="s">
        <v>257</v>
      </c>
      <c r="BD10" s="151" t="s">
        <v>257</v>
      </c>
      <c r="BE10" s="151" t="s">
        <v>257</v>
      </c>
      <c r="BF10" s="73"/>
      <c r="BG10" s="37" t="s">
        <v>13</v>
      </c>
    </row>
    <row r="11" spans="1:59" ht="14.1" customHeight="1">
      <c r="A11" s="264" t="s">
        <v>221</v>
      </c>
      <c r="B11" s="285" t="s">
        <v>212</v>
      </c>
      <c r="C11" s="70" t="s">
        <v>98</v>
      </c>
      <c r="D11" s="151" t="s">
        <v>257</v>
      </c>
      <c r="E11" s="151">
        <v>12</v>
      </c>
      <c r="F11" s="151" t="s">
        <v>257</v>
      </c>
      <c r="G11" s="151">
        <v>18</v>
      </c>
      <c r="H11" s="151" t="s">
        <v>257</v>
      </c>
      <c r="I11" s="151">
        <v>12</v>
      </c>
      <c r="J11" s="151">
        <v>12</v>
      </c>
      <c r="K11" s="151">
        <v>12</v>
      </c>
      <c r="L11" s="151" t="s">
        <v>257</v>
      </c>
      <c r="M11" s="151" t="s">
        <v>257</v>
      </c>
      <c r="N11" s="73"/>
      <c r="O11" s="151" t="s">
        <v>257</v>
      </c>
      <c r="P11" s="151">
        <v>12</v>
      </c>
      <c r="Q11" s="151" t="s">
        <v>257</v>
      </c>
      <c r="R11" s="151">
        <v>12</v>
      </c>
      <c r="S11" s="151" t="s">
        <v>257</v>
      </c>
      <c r="T11" s="151">
        <v>12</v>
      </c>
      <c r="U11" s="151">
        <v>12</v>
      </c>
      <c r="V11" s="151">
        <v>12</v>
      </c>
      <c r="W11" s="151" t="s">
        <v>257</v>
      </c>
      <c r="X11" s="151" t="s">
        <v>257</v>
      </c>
      <c r="Y11" s="73"/>
      <c r="Z11" s="151" t="s">
        <v>257</v>
      </c>
      <c r="AA11" s="151">
        <v>12</v>
      </c>
      <c r="AB11" s="151" t="s">
        <v>257</v>
      </c>
      <c r="AC11" s="151">
        <v>18</v>
      </c>
      <c r="AD11" s="151" t="s">
        <v>257</v>
      </c>
      <c r="AE11" s="230">
        <v>10</v>
      </c>
      <c r="AF11" s="151" t="s">
        <v>257</v>
      </c>
      <c r="AG11" s="151" t="s">
        <v>257</v>
      </c>
      <c r="AH11" s="151" t="s">
        <v>257</v>
      </c>
      <c r="AI11" s="151" t="s">
        <v>257</v>
      </c>
      <c r="AJ11" s="73"/>
      <c r="AK11" s="151" t="s">
        <v>257</v>
      </c>
      <c r="AL11" s="151" t="s">
        <v>257</v>
      </c>
      <c r="AM11" s="71">
        <v>11</v>
      </c>
      <c r="AN11" s="71">
        <v>11</v>
      </c>
      <c r="AO11" s="230">
        <v>11</v>
      </c>
      <c r="AP11" s="230">
        <v>11</v>
      </c>
      <c r="AQ11" s="151" t="s">
        <v>257</v>
      </c>
      <c r="AR11" s="151" t="s">
        <v>257</v>
      </c>
      <c r="AS11" s="151" t="s">
        <v>257</v>
      </c>
      <c r="AT11" s="151" t="s">
        <v>257</v>
      </c>
      <c r="AU11" s="73"/>
      <c r="AV11" s="151" t="s">
        <v>257</v>
      </c>
      <c r="AW11" s="151" t="s">
        <v>257</v>
      </c>
      <c r="AX11" s="230" t="s">
        <v>318</v>
      </c>
      <c r="AY11" s="230" t="s">
        <v>318</v>
      </c>
      <c r="AZ11" s="230" t="s">
        <v>318</v>
      </c>
      <c r="BA11" s="230" t="s">
        <v>318</v>
      </c>
      <c r="BB11" s="151" t="s">
        <v>257</v>
      </c>
      <c r="BC11" s="151" t="s">
        <v>257</v>
      </c>
      <c r="BD11" s="151" t="s">
        <v>257</v>
      </c>
      <c r="BE11" s="151" t="s">
        <v>257</v>
      </c>
      <c r="BF11" s="73"/>
      <c r="BG11" s="37" t="s">
        <v>13</v>
      </c>
    </row>
    <row r="12" spans="1:59" ht="14.1" customHeight="1">
      <c r="A12" s="265"/>
      <c r="B12" s="286"/>
      <c r="C12" s="70" t="s">
        <v>99</v>
      </c>
      <c r="D12" s="151" t="s">
        <v>257</v>
      </c>
      <c r="E12" s="151">
        <v>12</v>
      </c>
      <c r="F12" s="151" t="s">
        <v>257</v>
      </c>
      <c r="G12" s="151">
        <v>18</v>
      </c>
      <c r="H12" s="151" t="s">
        <v>257</v>
      </c>
      <c r="I12" s="151">
        <v>12</v>
      </c>
      <c r="J12" s="151">
        <v>12</v>
      </c>
      <c r="K12" s="151">
        <v>12</v>
      </c>
      <c r="L12" s="151" t="s">
        <v>257</v>
      </c>
      <c r="M12" s="151" t="s">
        <v>257</v>
      </c>
      <c r="N12" s="73"/>
      <c r="O12" s="151" t="s">
        <v>257</v>
      </c>
      <c r="P12" s="151">
        <v>12</v>
      </c>
      <c r="Q12" s="151" t="s">
        <v>257</v>
      </c>
      <c r="R12" s="151">
        <v>12</v>
      </c>
      <c r="S12" s="151" t="s">
        <v>257</v>
      </c>
      <c r="T12" s="151">
        <v>12</v>
      </c>
      <c r="U12" s="151">
        <v>12</v>
      </c>
      <c r="V12" s="151">
        <v>12</v>
      </c>
      <c r="W12" s="151" t="s">
        <v>257</v>
      </c>
      <c r="X12" s="151" t="s">
        <v>257</v>
      </c>
      <c r="Y12" s="73"/>
      <c r="Z12" s="151" t="s">
        <v>257</v>
      </c>
      <c r="AA12" s="151">
        <v>12</v>
      </c>
      <c r="AB12" s="151" t="s">
        <v>257</v>
      </c>
      <c r="AC12" s="151">
        <v>18</v>
      </c>
      <c r="AD12" s="151" t="s">
        <v>257</v>
      </c>
      <c r="AE12" s="230">
        <v>12</v>
      </c>
      <c r="AF12" s="151" t="s">
        <v>257</v>
      </c>
      <c r="AG12" s="151" t="s">
        <v>257</v>
      </c>
      <c r="AH12" s="151" t="s">
        <v>257</v>
      </c>
      <c r="AI12" s="151" t="s">
        <v>257</v>
      </c>
      <c r="AJ12" s="73"/>
      <c r="AK12" s="151" t="s">
        <v>257</v>
      </c>
      <c r="AL12" s="151" t="s">
        <v>257</v>
      </c>
      <c r="AM12" s="71">
        <v>11</v>
      </c>
      <c r="AN12" s="71">
        <v>11</v>
      </c>
      <c r="AO12" s="230">
        <v>11</v>
      </c>
      <c r="AP12" s="230">
        <v>11</v>
      </c>
      <c r="AQ12" s="151" t="s">
        <v>257</v>
      </c>
      <c r="AR12" s="151" t="s">
        <v>257</v>
      </c>
      <c r="AS12" s="151" t="s">
        <v>257</v>
      </c>
      <c r="AT12" s="151" t="s">
        <v>257</v>
      </c>
      <c r="AU12" s="73"/>
      <c r="AV12" s="151" t="s">
        <v>257</v>
      </c>
      <c r="AW12" s="151" t="s">
        <v>257</v>
      </c>
      <c r="AX12" s="230">
        <v>22</v>
      </c>
      <c r="AY12" s="230">
        <v>22</v>
      </c>
      <c r="AZ12" s="230">
        <v>22</v>
      </c>
      <c r="BA12" s="230">
        <v>22</v>
      </c>
      <c r="BB12" s="151" t="s">
        <v>257</v>
      </c>
      <c r="BC12" s="151" t="s">
        <v>257</v>
      </c>
      <c r="BD12" s="151" t="s">
        <v>257</v>
      </c>
      <c r="BE12" s="151" t="s">
        <v>257</v>
      </c>
      <c r="BF12" s="73"/>
      <c r="BG12" s="37" t="s">
        <v>13</v>
      </c>
    </row>
    <row r="13" spans="1:59" ht="14.1" customHeight="1">
      <c r="A13" s="264" t="s">
        <v>222</v>
      </c>
      <c r="B13" s="285" t="s">
        <v>214</v>
      </c>
      <c r="C13" s="70" t="s">
        <v>98</v>
      </c>
      <c r="D13" s="151" t="s">
        <v>257</v>
      </c>
      <c r="E13" s="151">
        <v>15</v>
      </c>
      <c r="F13" s="151" t="s">
        <v>257</v>
      </c>
      <c r="G13" s="151">
        <v>37</v>
      </c>
      <c r="H13" s="151" t="s">
        <v>257</v>
      </c>
      <c r="I13" s="151">
        <v>15</v>
      </c>
      <c r="J13" s="151">
        <v>15</v>
      </c>
      <c r="K13" s="151">
        <v>15</v>
      </c>
      <c r="L13" s="151" t="s">
        <v>257</v>
      </c>
      <c r="M13" s="151" t="s">
        <v>257</v>
      </c>
      <c r="N13" s="73"/>
      <c r="O13" s="151" t="s">
        <v>257</v>
      </c>
      <c r="P13" s="151">
        <v>15</v>
      </c>
      <c r="Q13" s="151" t="s">
        <v>257</v>
      </c>
      <c r="R13" s="151">
        <v>15</v>
      </c>
      <c r="S13" s="151" t="s">
        <v>257</v>
      </c>
      <c r="T13" s="151">
        <v>15</v>
      </c>
      <c r="U13" s="151">
        <v>15</v>
      </c>
      <c r="V13" s="151">
        <v>15</v>
      </c>
      <c r="W13" s="151" t="s">
        <v>257</v>
      </c>
      <c r="X13" s="151" t="s">
        <v>257</v>
      </c>
      <c r="Y13" s="73"/>
      <c r="Z13" s="151" t="s">
        <v>257</v>
      </c>
      <c r="AA13" s="151">
        <v>13</v>
      </c>
      <c r="AB13" s="151" t="s">
        <v>257</v>
      </c>
      <c r="AC13" s="151">
        <v>37</v>
      </c>
      <c r="AD13" s="151" t="s">
        <v>257</v>
      </c>
      <c r="AE13" s="230">
        <v>11</v>
      </c>
      <c r="AF13" s="151" t="s">
        <v>257</v>
      </c>
      <c r="AG13" s="151" t="s">
        <v>257</v>
      </c>
      <c r="AH13" s="151" t="s">
        <v>257</v>
      </c>
      <c r="AI13" s="151" t="s">
        <v>257</v>
      </c>
      <c r="AJ13" s="73"/>
      <c r="AK13" s="151" t="s">
        <v>257</v>
      </c>
      <c r="AL13" s="151" t="s">
        <v>257</v>
      </c>
      <c r="AM13" s="71">
        <v>16</v>
      </c>
      <c r="AN13" s="71">
        <v>16</v>
      </c>
      <c r="AO13" s="230">
        <v>14</v>
      </c>
      <c r="AP13" s="230">
        <v>14</v>
      </c>
      <c r="AQ13" s="151" t="s">
        <v>257</v>
      </c>
      <c r="AR13" s="151" t="s">
        <v>257</v>
      </c>
      <c r="AS13" s="151" t="s">
        <v>257</v>
      </c>
      <c r="AT13" s="151" t="s">
        <v>257</v>
      </c>
      <c r="AU13" s="73"/>
      <c r="AV13" s="151" t="s">
        <v>257</v>
      </c>
      <c r="AW13" s="151" t="s">
        <v>257</v>
      </c>
      <c r="AX13" s="230" t="s">
        <v>318</v>
      </c>
      <c r="AY13" s="230" t="s">
        <v>318</v>
      </c>
      <c r="AZ13" s="230" t="s">
        <v>318</v>
      </c>
      <c r="BA13" s="230" t="s">
        <v>318</v>
      </c>
      <c r="BB13" s="151" t="s">
        <v>257</v>
      </c>
      <c r="BC13" s="151" t="s">
        <v>257</v>
      </c>
      <c r="BD13" s="151" t="s">
        <v>257</v>
      </c>
      <c r="BE13" s="151" t="s">
        <v>257</v>
      </c>
      <c r="BF13" s="73"/>
      <c r="BG13" s="37" t="s">
        <v>13</v>
      </c>
    </row>
    <row r="14" spans="1:59" ht="14.1" customHeight="1">
      <c r="A14" s="265"/>
      <c r="B14" s="286"/>
      <c r="C14" s="70" t="s">
        <v>99</v>
      </c>
      <c r="D14" s="151" t="s">
        <v>257</v>
      </c>
      <c r="E14" s="151">
        <v>15</v>
      </c>
      <c r="F14" s="151" t="s">
        <v>257</v>
      </c>
      <c r="G14" s="151">
        <v>37</v>
      </c>
      <c r="H14" s="151" t="s">
        <v>257</v>
      </c>
      <c r="I14" s="151">
        <v>15</v>
      </c>
      <c r="J14" s="151">
        <v>15</v>
      </c>
      <c r="K14" s="151">
        <v>15</v>
      </c>
      <c r="L14" s="151" t="s">
        <v>257</v>
      </c>
      <c r="M14" s="151" t="s">
        <v>257</v>
      </c>
      <c r="N14" s="73"/>
      <c r="O14" s="151" t="s">
        <v>257</v>
      </c>
      <c r="P14" s="151">
        <v>15</v>
      </c>
      <c r="Q14" s="151" t="s">
        <v>257</v>
      </c>
      <c r="R14" s="151">
        <v>15</v>
      </c>
      <c r="S14" s="151" t="s">
        <v>257</v>
      </c>
      <c r="T14" s="151">
        <v>15</v>
      </c>
      <c r="U14" s="151">
        <v>15</v>
      </c>
      <c r="V14" s="151">
        <v>15</v>
      </c>
      <c r="W14" s="151" t="s">
        <v>257</v>
      </c>
      <c r="X14" s="151" t="s">
        <v>257</v>
      </c>
      <c r="Y14" s="73"/>
      <c r="Z14" s="151" t="s">
        <v>257</v>
      </c>
      <c r="AA14" s="151">
        <v>14</v>
      </c>
      <c r="AB14" s="151" t="s">
        <v>257</v>
      </c>
      <c r="AC14" s="151">
        <v>37</v>
      </c>
      <c r="AD14" s="151" t="s">
        <v>257</v>
      </c>
      <c r="AE14" s="230">
        <v>12</v>
      </c>
      <c r="AF14" s="151" t="s">
        <v>257</v>
      </c>
      <c r="AG14" s="151" t="s">
        <v>257</v>
      </c>
      <c r="AH14" s="151" t="s">
        <v>257</v>
      </c>
      <c r="AI14" s="151" t="s">
        <v>257</v>
      </c>
      <c r="AJ14" s="73"/>
      <c r="AK14" s="151" t="s">
        <v>257</v>
      </c>
      <c r="AL14" s="151" t="s">
        <v>257</v>
      </c>
      <c r="AM14" s="71">
        <v>16</v>
      </c>
      <c r="AN14" s="71">
        <v>16</v>
      </c>
      <c r="AO14" s="230">
        <v>14</v>
      </c>
      <c r="AP14" s="230">
        <v>14</v>
      </c>
      <c r="AQ14" s="151" t="s">
        <v>257</v>
      </c>
      <c r="AR14" s="151" t="s">
        <v>257</v>
      </c>
      <c r="AS14" s="151" t="s">
        <v>257</v>
      </c>
      <c r="AT14" s="151" t="s">
        <v>257</v>
      </c>
      <c r="AU14" s="73"/>
      <c r="AV14" s="151" t="s">
        <v>257</v>
      </c>
      <c r="AW14" s="151" t="s">
        <v>257</v>
      </c>
      <c r="AX14" s="230">
        <v>27</v>
      </c>
      <c r="AY14" s="230">
        <v>27</v>
      </c>
      <c r="AZ14" s="230">
        <v>25</v>
      </c>
      <c r="BA14" s="230">
        <v>25</v>
      </c>
      <c r="BB14" s="151" t="s">
        <v>257</v>
      </c>
      <c r="BC14" s="151" t="s">
        <v>257</v>
      </c>
      <c r="BD14" s="151" t="s">
        <v>257</v>
      </c>
      <c r="BE14" s="151" t="s">
        <v>257</v>
      </c>
      <c r="BF14" s="73"/>
      <c r="BG14" s="37" t="s">
        <v>13</v>
      </c>
    </row>
    <row r="15" spans="1:59" ht="14.1" customHeight="1">
      <c r="A15" s="270" t="s">
        <v>223</v>
      </c>
      <c r="B15" s="267" t="s">
        <v>144</v>
      </c>
      <c r="C15" s="70" t="s">
        <v>98</v>
      </c>
      <c r="D15" s="151" t="s">
        <v>257</v>
      </c>
      <c r="E15" s="151">
        <v>23</v>
      </c>
      <c r="F15" s="151" t="s">
        <v>257</v>
      </c>
      <c r="G15" s="151">
        <v>35</v>
      </c>
      <c r="H15" s="151" t="s">
        <v>257</v>
      </c>
      <c r="I15" s="151">
        <v>23</v>
      </c>
      <c r="J15" s="151">
        <v>23</v>
      </c>
      <c r="K15" s="151">
        <v>23</v>
      </c>
      <c r="L15" s="151" t="s">
        <v>257</v>
      </c>
      <c r="M15" s="151" t="s">
        <v>257</v>
      </c>
      <c r="N15" s="73"/>
      <c r="O15" s="151" t="s">
        <v>257</v>
      </c>
      <c r="P15" s="151">
        <v>23</v>
      </c>
      <c r="Q15" s="151" t="s">
        <v>257</v>
      </c>
      <c r="R15" s="151">
        <v>23</v>
      </c>
      <c r="S15" s="151" t="s">
        <v>257</v>
      </c>
      <c r="T15" s="151">
        <v>23</v>
      </c>
      <c r="U15" s="151">
        <v>23</v>
      </c>
      <c r="V15" s="151">
        <v>23</v>
      </c>
      <c r="W15" s="151" t="s">
        <v>257</v>
      </c>
      <c r="X15" s="151" t="s">
        <v>257</v>
      </c>
      <c r="Y15" s="73"/>
      <c r="Z15" s="151" t="s">
        <v>257</v>
      </c>
      <c r="AA15" s="151">
        <v>22</v>
      </c>
      <c r="AB15" s="151" t="s">
        <v>257</v>
      </c>
      <c r="AC15" s="151">
        <v>35</v>
      </c>
      <c r="AD15" s="151" t="s">
        <v>257</v>
      </c>
      <c r="AE15" s="230">
        <v>16</v>
      </c>
      <c r="AF15" s="151" t="s">
        <v>257</v>
      </c>
      <c r="AG15" s="151" t="s">
        <v>257</v>
      </c>
      <c r="AH15" s="151" t="s">
        <v>257</v>
      </c>
      <c r="AI15" s="151" t="s">
        <v>257</v>
      </c>
      <c r="AJ15" s="73"/>
      <c r="AK15" s="151" t="s">
        <v>257</v>
      </c>
      <c r="AL15" s="151" t="s">
        <v>257</v>
      </c>
      <c r="AM15" s="71">
        <v>38</v>
      </c>
      <c r="AN15" s="71">
        <v>38</v>
      </c>
      <c r="AO15" s="230">
        <v>36</v>
      </c>
      <c r="AP15" s="230">
        <v>36</v>
      </c>
      <c r="AQ15" s="151" t="s">
        <v>257</v>
      </c>
      <c r="AR15" s="151" t="s">
        <v>257</v>
      </c>
      <c r="AS15" s="151" t="s">
        <v>257</v>
      </c>
      <c r="AT15" s="151" t="s">
        <v>257</v>
      </c>
      <c r="AU15" s="73"/>
      <c r="AV15" s="151" t="s">
        <v>257</v>
      </c>
      <c r="AW15" s="151" t="s">
        <v>257</v>
      </c>
      <c r="AX15" s="230" t="s">
        <v>318</v>
      </c>
      <c r="AY15" s="230" t="s">
        <v>318</v>
      </c>
      <c r="AZ15" s="230" t="s">
        <v>318</v>
      </c>
      <c r="BA15" s="230" t="s">
        <v>318</v>
      </c>
      <c r="BB15" s="151" t="s">
        <v>257</v>
      </c>
      <c r="BC15" s="151" t="s">
        <v>257</v>
      </c>
      <c r="BD15" s="151" t="s">
        <v>257</v>
      </c>
      <c r="BE15" s="151" t="s">
        <v>257</v>
      </c>
      <c r="BF15" s="73"/>
      <c r="BG15" s="37" t="s">
        <v>13</v>
      </c>
    </row>
    <row r="16" spans="1:59" ht="14.1" customHeight="1">
      <c r="A16" s="271"/>
      <c r="B16" s="268"/>
      <c r="C16" s="70" t="s">
        <v>99</v>
      </c>
      <c r="D16" s="151" t="s">
        <v>257</v>
      </c>
      <c r="E16" s="151">
        <v>23</v>
      </c>
      <c r="F16" s="151" t="s">
        <v>257</v>
      </c>
      <c r="G16" s="151">
        <v>35</v>
      </c>
      <c r="H16" s="151" t="s">
        <v>257</v>
      </c>
      <c r="I16" s="151">
        <v>23</v>
      </c>
      <c r="J16" s="151">
        <v>23</v>
      </c>
      <c r="K16" s="151">
        <v>23</v>
      </c>
      <c r="L16" s="151" t="s">
        <v>257</v>
      </c>
      <c r="M16" s="151" t="s">
        <v>257</v>
      </c>
      <c r="N16" s="73"/>
      <c r="O16" s="151" t="s">
        <v>257</v>
      </c>
      <c r="P16" s="151">
        <v>23</v>
      </c>
      <c r="Q16" s="151" t="s">
        <v>257</v>
      </c>
      <c r="R16" s="151">
        <v>23</v>
      </c>
      <c r="S16" s="151" t="s">
        <v>257</v>
      </c>
      <c r="T16" s="151">
        <v>23</v>
      </c>
      <c r="U16" s="151">
        <v>23</v>
      </c>
      <c r="V16" s="151">
        <v>23</v>
      </c>
      <c r="W16" s="151" t="s">
        <v>257</v>
      </c>
      <c r="X16" s="151" t="s">
        <v>257</v>
      </c>
      <c r="Y16" s="73"/>
      <c r="Z16" s="151" t="s">
        <v>257</v>
      </c>
      <c r="AA16" s="151">
        <v>22</v>
      </c>
      <c r="AB16" s="151" t="s">
        <v>257</v>
      </c>
      <c r="AC16" s="151">
        <v>35</v>
      </c>
      <c r="AD16" s="151" t="s">
        <v>257</v>
      </c>
      <c r="AE16" s="230">
        <v>17</v>
      </c>
      <c r="AF16" s="151" t="s">
        <v>257</v>
      </c>
      <c r="AG16" s="151" t="s">
        <v>257</v>
      </c>
      <c r="AH16" s="151" t="s">
        <v>257</v>
      </c>
      <c r="AI16" s="151" t="s">
        <v>257</v>
      </c>
      <c r="AJ16" s="73"/>
      <c r="AK16" s="151" t="s">
        <v>257</v>
      </c>
      <c r="AL16" s="151" t="s">
        <v>257</v>
      </c>
      <c r="AM16" s="71">
        <v>38</v>
      </c>
      <c r="AN16" s="71">
        <v>38</v>
      </c>
      <c r="AO16" s="230">
        <v>36</v>
      </c>
      <c r="AP16" s="230">
        <v>36</v>
      </c>
      <c r="AQ16" s="151" t="s">
        <v>257</v>
      </c>
      <c r="AR16" s="151" t="s">
        <v>257</v>
      </c>
      <c r="AS16" s="151" t="s">
        <v>257</v>
      </c>
      <c r="AT16" s="151" t="s">
        <v>257</v>
      </c>
      <c r="AU16" s="73"/>
      <c r="AV16" s="151" t="s">
        <v>257</v>
      </c>
      <c r="AW16" s="151" t="s">
        <v>257</v>
      </c>
      <c r="AX16" s="230">
        <v>49</v>
      </c>
      <c r="AY16" s="230">
        <v>49</v>
      </c>
      <c r="AZ16" s="230">
        <v>47</v>
      </c>
      <c r="BA16" s="230">
        <v>47</v>
      </c>
      <c r="BB16" s="151" t="s">
        <v>257</v>
      </c>
      <c r="BC16" s="151" t="s">
        <v>257</v>
      </c>
      <c r="BD16" s="151" t="s">
        <v>257</v>
      </c>
      <c r="BE16" s="151" t="s">
        <v>257</v>
      </c>
      <c r="BF16" s="73"/>
      <c r="BG16" s="37" t="s">
        <v>13</v>
      </c>
    </row>
    <row r="17" spans="1:59" ht="14.1" customHeight="1">
      <c r="A17" s="263" t="s">
        <v>224</v>
      </c>
      <c r="B17" s="266" t="s">
        <v>213</v>
      </c>
      <c r="C17" s="70" t="s">
        <v>98</v>
      </c>
      <c r="D17" s="151" t="s">
        <v>257</v>
      </c>
      <c r="E17" s="151">
        <v>17</v>
      </c>
      <c r="F17" s="151" t="s">
        <v>257</v>
      </c>
      <c r="G17" s="151">
        <v>41</v>
      </c>
      <c r="H17" s="151" t="s">
        <v>257</v>
      </c>
      <c r="I17" s="151">
        <v>17</v>
      </c>
      <c r="J17" s="151">
        <v>17</v>
      </c>
      <c r="K17" s="151">
        <v>17</v>
      </c>
      <c r="L17" s="151" t="s">
        <v>257</v>
      </c>
      <c r="M17" s="151" t="s">
        <v>257</v>
      </c>
      <c r="N17" s="73"/>
      <c r="O17" s="151" t="s">
        <v>257</v>
      </c>
      <c r="P17" s="151">
        <v>22</v>
      </c>
      <c r="Q17" s="151" t="s">
        <v>257</v>
      </c>
      <c r="R17" s="151">
        <v>22</v>
      </c>
      <c r="S17" s="151" t="s">
        <v>257</v>
      </c>
      <c r="T17" s="151">
        <v>22</v>
      </c>
      <c r="U17" s="151">
        <v>22</v>
      </c>
      <c r="V17" s="151">
        <v>22</v>
      </c>
      <c r="W17" s="151" t="s">
        <v>257</v>
      </c>
      <c r="X17" s="151" t="s">
        <v>257</v>
      </c>
      <c r="Y17" s="73"/>
      <c r="Z17" s="151" t="s">
        <v>257</v>
      </c>
      <c r="AA17" s="151">
        <v>17</v>
      </c>
      <c r="AB17" s="151" t="s">
        <v>257</v>
      </c>
      <c r="AC17" s="151">
        <v>41</v>
      </c>
      <c r="AD17" s="151" t="s">
        <v>257</v>
      </c>
      <c r="AE17" s="230">
        <v>15</v>
      </c>
      <c r="AF17" s="151" t="s">
        <v>257</v>
      </c>
      <c r="AG17" s="151" t="s">
        <v>257</v>
      </c>
      <c r="AH17" s="151" t="s">
        <v>257</v>
      </c>
      <c r="AI17" s="151" t="s">
        <v>257</v>
      </c>
      <c r="AJ17" s="73"/>
      <c r="AK17" s="151" t="s">
        <v>257</v>
      </c>
      <c r="AL17" s="151" t="s">
        <v>257</v>
      </c>
      <c r="AM17" s="71">
        <v>38</v>
      </c>
      <c r="AN17" s="71">
        <v>38</v>
      </c>
      <c r="AO17" s="230">
        <v>36</v>
      </c>
      <c r="AP17" s="230">
        <v>36</v>
      </c>
      <c r="AQ17" s="151" t="s">
        <v>257</v>
      </c>
      <c r="AR17" s="151" t="s">
        <v>257</v>
      </c>
      <c r="AS17" s="151" t="s">
        <v>257</v>
      </c>
      <c r="AT17" s="151" t="s">
        <v>257</v>
      </c>
      <c r="AU17" s="73"/>
      <c r="AV17" s="151" t="s">
        <v>257</v>
      </c>
      <c r="AW17" s="151" t="s">
        <v>257</v>
      </c>
      <c r="AX17" s="230" t="s">
        <v>318</v>
      </c>
      <c r="AY17" s="230" t="s">
        <v>318</v>
      </c>
      <c r="AZ17" s="230" t="s">
        <v>318</v>
      </c>
      <c r="BA17" s="230" t="s">
        <v>318</v>
      </c>
      <c r="BB17" s="151" t="s">
        <v>257</v>
      </c>
      <c r="BC17" s="151" t="s">
        <v>257</v>
      </c>
      <c r="BD17" s="151" t="s">
        <v>257</v>
      </c>
      <c r="BE17" s="151" t="s">
        <v>257</v>
      </c>
      <c r="BF17" s="73"/>
      <c r="BG17" s="37" t="s">
        <v>13</v>
      </c>
    </row>
    <row r="18" spans="1:59" ht="14.1" customHeight="1">
      <c r="A18" s="263"/>
      <c r="B18" s="266"/>
      <c r="C18" s="70" t="s">
        <v>99</v>
      </c>
      <c r="D18" s="151" t="s">
        <v>257</v>
      </c>
      <c r="E18" s="151">
        <v>17</v>
      </c>
      <c r="F18" s="151" t="s">
        <v>257</v>
      </c>
      <c r="G18" s="151">
        <v>41</v>
      </c>
      <c r="H18" s="151" t="s">
        <v>257</v>
      </c>
      <c r="I18" s="151">
        <v>17</v>
      </c>
      <c r="J18" s="151">
        <v>17</v>
      </c>
      <c r="K18" s="151">
        <v>17</v>
      </c>
      <c r="L18" s="151" t="s">
        <v>257</v>
      </c>
      <c r="M18" s="151" t="s">
        <v>257</v>
      </c>
      <c r="N18" s="73"/>
      <c r="O18" s="151" t="s">
        <v>257</v>
      </c>
      <c r="P18" s="151">
        <v>22</v>
      </c>
      <c r="Q18" s="151" t="s">
        <v>257</v>
      </c>
      <c r="R18" s="151">
        <v>22</v>
      </c>
      <c r="S18" s="151" t="s">
        <v>257</v>
      </c>
      <c r="T18" s="151">
        <v>22</v>
      </c>
      <c r="U18" s="151">
        <v>22</v>
      </c>
      <c r="V18" s="151">
        <v>22</v>
      </c>
      <c r="W18" s="151" t="s">
        <v>257</v>
      </c>
      <c r="X18" s="151" t="s">
        <v>257</v>
      </c>
      <c r="Y18" s="73"/>
      <c r="Z18" s="151" t="s">
        <v>257</v>
      </c>
      <c r="AA18" s="151">
        <v>19</v>
      </c>
      <c r="AB18" s="151" t="s">
        <v>257</v>
      </c>
      <c r="AC18" s="151">
        <v>41</v>
      </c>
      <c r="AD18" s="151" t="s">
        <v>257</v>
      </c>
      <c r="AE18" s="230">
        <v>17</v>
      </c>
      <c r="AF18" s="151" t="s">
        <v>257</v>
      </c>
      <c r="AG18" s="151" t="s">
        <v>257</v>
      </c>
      <c r="AH18" s="151" t="s">
        <v>257</v>
      </c>
      <c r="AI18" s="151" t="s">
        <v>257</v>
      </c>
      <c r="AJ18" s="73"/>
      <c r="AK18" s="151" t="s">
        <v>257</v>
      </c>
      <c r="AL18" s="151" t="s">
        <v>257</v>
      </c>
      <c r="AM18" s="71">
        <v>38</v>
      </c>
      <c r="AN18" s="71">
        <v>38</v>
      </c>
      <c r="AO18" s="230">
        <v>36</v>
      </c>
      <c r="AP18" s="230">
        <v>36</v>
      </c>
      <c r="AQ18" s="151" t="s">
        <v>257</v>
      </c>
      <c r="AR18" s="151" t="s">
        <v>257</v>
      </c>
      <c r="AS18" s="151" t="s">
        <v>257</v>
      </c>
      <c r="AT18" s="151" t="s">
        <v>257</v>
      </c>
      <c r="AU18" s="73"/>
      <c r="AV18" s="151" t="s">
        <v>257</v>
      </c>
      <c r="AW18" s="151" t="s">
        <v>257</v>
      </c>
      <c r="AX18" s="230">
        <v>49</v>
      </c>
      <c r="AY18" s="230">
        <v>49</v>
      </c>
      <c r="AZ18" s="230">
        <v>47</v>
      </c>
      <c r="BA18" s="230">
        <v>47</v>
      </c>
      <c r="BB18" s="151" t="s">
        <v>257</v>
      </c>
      <c r="BC18" s="151" t="s">
        <v>257</v>
      </c>
      <c r="BD18" s="151" t="s">
        <v>257</v>
      </c>
      <c r="BE18" s="151" t="s">
        <v>257</v>
      </c>
      <c r="BF18" s="73"/>
      <c r="BG18" s="37" t="s">
        <v>13</v>
      </c>
    </row>
    <row r="19" spans="1:59" ht="14.1" customHeight="1">
      <c r="A19" s="263" t="s">
        <v>225</v>
      </c>
      <c r="B19" s="269" t="s">
        <v>146</v>
      </c>
      <c r="C19" s="70" t="s">
        <v>98</v>
      </c>
      <c r="D19" s="151" t="s">
        <v>257</v>
      </c>
      <c r="E19" s="151">
        <v>40</v>
      </c>
      <c r="F19" s="151" t="s">
        <v>257</v>
      </c>
      <c r="G19" s="151">
        <v>41</v>
      </c>
      <c r="H19" s="151" t="s">
        <v>257</v>
      </c>
      <c r="I19" s="151">
        <v>35</v>
      </c>
      <c r="J19" s="151">
        <v>33</v>
      </c>
      <c r="K19" s="151">
        <v>31</v>
      </c>
      <c r="L19" s="151" t="s">
        <v>257</v>
      </c>
      <c r="M19" s="151" t="s">
        <v>257</v>
      </c>
      <c r="N19" s="73"/>
      <c r="O19" s="151" t="s">
        <v>257</v>
      </c>
      <c r="P19" s="151">
        <v>40</v>
      </c>
      <c r="Q19" s="151" t="s">
        <v>257</v>
      </c>
      <c r="R19" s="151">
        <v>37</v>
      </c>
      <c r="S19" s="151" t="s">
        <v>257</v>
      </c>
      <c r="T19" s="151">
        <v>35</v>
      </c>
      <c r="U19" s="151">
        <v>33</v>
      </c>
      <c r="V19" s="151">
        <v>31</v>
      </c>
      <c r="W19" s="151" t="s">
        <v>257</v>
      </c>
      <c r="X19" s="151" t="s">
        <v>257</v>
      </c>
      <c r="Y19" s="73"/>
      <c r="Z19" s="151" t="s">
        <v>257</v>
      </c>
      <c r="AA19" s="151">
        <v>23</v>
      </c>
      <c r="AB19" s="151" t="s">
        <v>257</v>
      </c>
      <c r="AC19" s="151">
        <v>41</v>
      </c>
      <c r="AD19" s="151" t="s">
        <v>257</v>
      </c>
      <c r="AE19" s="230">
        <v>20</v>
      </c>
      <c r="AF19" s="151" t="s">
        <v>257</v>
      </c>
      <c r="AG19" s="151" t="s">
        <v>257</v>
      </c>
      <c r="AH19" s="151" t="s">
        <v>257</v>
      </c>
      <c r="AI19" s="151" t="s">
        <v>257</v>
      </c>
      <c r="AJ19" s="73"/>
      <c r="AK19" s="151" t="s">
        <v>257</v>
      </c>
      <c r="AL19" s="151" t="s">
        <v>257</v>
      </c>
      <c r="AM19" s="71">
        <v>53</v>
      </c>
      <c r="AN19" s="71">
        <v>53</v>
      </c>
      <c r="AO19" s="230">
        <v>51</v>
      </c>
      <c r="AP19" s="230">
        <v>51</v>
      </c>
      <c r="AQ19" s="151" t="s">
        <v>257</v>
      </c>
      <c r="AR19" s="151" t="s">
        <v>257</v>
      </c>
      <c r="AS19" s="151" t="s">
        <v>257</v>
      </c>
      <c r="AT19" s="151" t="s">
        <v>257</v>
      </c>
      <c r="AU19" s="73"/>
      <c r="AV19" s="151" t="s">
        <v>257</v>
      </c>
      <c r="AW19" s="151" t="s">
        <v>257</v>
      </c>
      <c r="AX19" s="230" t="s">
        <v>318</v>
      </c>
      <c r="AY19" s="230" t="s">
        <v>318</v>
      </c>
      <c r="AZ19" s="230" t="s">
        <v>318</v>
      </c>
      <c r="BA19" s="230" t="s">
        <v>318</v>
      </c>
      <c r="BB19" s="151" t="s">
        <v>257</v>
      </c>
      <c r="BC19" s="151" t="s">
        <v>257</v>
      </c>
      <c r="BD19" s="151" t="s">
        <v>257</v>
      </c>
      <c r="BE19" s="151" t="s">
        <v>257</v>
      </c>
      <c r="BF19" s="73"/>
      <c r="BG19" s="37" t="s">
        <v>13</v>
      </c>
    </row>
    <row r="20" spans="1:59" ht="14.1" customHeight="1">
      <c r="A20" s="263"/>
      <c r="B20" s="269"/>
      <c r="C20" s="70" t="s">
        <v>99</v>
      </c>
      <c r="D20" s="151" t="s">
        <v>257</v>
      </c>
      <c r="E20" s="151">
        <v>43</v>
      </c>
      <c r="F20" s="151" t="s">
        <v>257</v>
      </c>
      <c r="G20" s="151">
        <v>49</v>
      </c>
      <c r="H20" s="151" t="s">
        <v>257</v>
      </c>
      <c r="I20" s="151">
        <v>37</v>
      </c>
      <c r="J20" s="151">
        <v>36</v>
      </c>
      <c r="K20" s="151">
        <v>33</v>
      </c>
      <c r="L20" s="151" t="s">
        <v>257</v>
      </c>
      <c r="M20" s="151" t="s">
        <v>257</v>
      </c>
      <c r="N20" s="73"/>
      <c r="O20" s="151" t="s">
        <v>257</v>
      </c>
      <c r="P20" s="151">
        <v>43</v>
      </c>
      <c r="Q20" s="151" t="s">
        <v>257</v>
      </c>
      <c r="R20" s="151">
        <v>39</v>
      </c>
      <c r="S20" s="151" t="s">
        <v>257</v>
      </c>
      <c r="T20" s="151">
        <v>37</v>
      </c>
      <c r="U20" s="151">
        <v>36</v>
      </c>
      <c r="V20" s="151">
        <v>33</v>
      </c>
      <c r="W20" s="151" t="s">
        <v>257</v>
      </c>
      <c r="X20" s="151" t="s">
        <v>257</v>
      </c>
      <c r="Y20" s="73"/>
      <c r="Z20" s="151" t="s">
        <v>257</v>
      </c>
      <c r="AA20" s="151">
        <v>25</v>
      </c>
      <c r="AB20" s="151" t="s">
        <v>257</v>
      </c>
      <c r="AC20" s="151">
        <v>49</v>
      </c>
      <c r="AD20" s="151" t="s">
        <v>257</v>
      </c>
      <c r="AE20" s="230">
        <v>22</v>
      </c>
      <c r="AF20" s="151" t="s">
        <v>257</v>
      </c>
      <c r="AG20" s="151" t="s">
        <v>257</v>
      </c>
      <c r="AH20" s="151" t="s">
        <v>257</v>
      </c>
      <c r="AI20" s="151" t="s">
        <v>257</v>
      </c>
      <c r="AJ20" s="73"/>
      <c r="AK20" s="151" t="s">
        <v>257</v>
      </c>
      <c r="AL20" s="151" t="s">
        <v>257</v>
      </c>
      <c r="AM20" s="71">
        <v>53</v>
      </c>
      <c r="AN20" s="71">
        <v>53</v>
      </c>
      <c r="AO20" s="230">
        <v>51</v>
      </c>
      <c r="AP20" s="230">
        <v>51</v>
      </c>
      <c r="AQ20" s="151" t="s">
        <v>257</v>
      </c>
      <c r="AR20" s="151" t="s">
        <v>257</v>
      </c>
      <c r="AS20" s="151" t="s">
        <v>257</v>
      </c>
      <c r="AT20" s="151" t="s">
        <v>257</v>
      </c>
      <c r="AU20" s="73"/>
      <c r="AV20" s="151" t="s">
        <v>257</v>
      </c>
      <c r="AW20" s="151" t="s">
        <v>257</v>
      </c>
      <c r="AX20" s="230">
        <v>64</v>
      </c>
      <c r="AY20" s="230">
        <v>64</v>
      </c>
      <c r="AZ20" s="230">
        <v>62</v>
      </c>
      <c r="BA20" s="230">
        <v>62</v>
      </c>
      <c r="BB20" s="151" t="s">
        <v>257</v>
      </c>
      <c r="BC20" s="151" t="s">
        <v>257</v>
      </c>
      <c r="BD20" s="151" t="s">
        <v>257</v>
      </c>
      <c r="BE20" s="151" t="s">
        <v>257</v>
      </c>
      <c r="BF20" s="73"/>
      <c r="BG20" s="37" t="s">
        <v>13</v>
      </c>
    </row>
    <row r="21" spans="1:59" ht="14.1" customHeight="1">
      <c r="A21" s="263" t="s">
        <v>226</v>
      </c>
      <c r="B21" s="266" t="s">
        <v>147</v>
      </c>
      <c r="C21" s="70" t="s">
        <v>100</v>
      </c>
      <c r="D21" s="151" t="s">
        <v>257</v>
      </c>
      <c r="E21" s="151">
        <v>125</v>
      </c>
      <c r="F21" s="151" t="s">
        <v>257</v>
      </c>
      <c r="G21" s="151">
        <v>164</v>
      </c>
      <c r="H21" s="151" t="s">
        <v>257</v>
      </c>
      <c r="I21" s="151">
        <v>100</v>
      </c>
      <c r="J21" s="151">
        <v>88</v>
      </c>
      <c r="K21" s="151">
        <v>74</v>
      </c>
      <c r="L21" s="151" t="s">
        <v>257</v>
      </c>
      <c r="M21" s="151" t="s">
        <v>257</v>
      </c>
      <c r="N21" s="73"/>
      <c r="O21" s="151" t="s">
        <v>257</v>
      </c>
      <c r="P21" s="151">
        <v>120</v>
      </c>
      <c r="Q21" s="151" t="s">
        <v>257</v>
      </c>
      <c r="R21" s="151">
        <v>106</v>
      </c>
      <c r="S21" s="151" t="s">
        <v>257</v>
      </c>
      <c r="T21" s="151">
        <v>96</v>
      </c>
      <c r="U21" s="151">
        <v>84</v>
      </c>
      <c r="V21" s="151">
        <v>70</v>
      </c>
      <c r="W21" s="151" t="s">
        <v>257</v>
      </c>
      <c r="X21" s="151" t="s">
        <v>257</v>
      </c>
      <c r="Y21" s="73"/>
      <c r="Z21" s="151" t="s">
        <v>257</v>
      </c>
      <c r="AA21" s="151">
        <v>110</v>
      </c>
      <c r="AB21" s="151" t="s">
        <v>257</v>
      </c>
      <c r="AC21" s="151">
        <v>164</v>
      </c>
      <c r="AD21" s="151" t="s">
        <v>257</v>
      </c>
      <c r="AE21" s="230">
        <v>90</v>
      </c>
      <c r="AF21" s="151" t="s">
        <v>257</v>
      </c>
      <c r="AG21" s="151" t="s">
        <v>257</v>
      </c>
      <c r="AH21" s="151" t="s">
        <v>257</v>
      </c>
      <c r="AI21" s="151" t="s">
        <v>257</v>
      </c>
      <c r="AJ21" s="73"/>
      <c r="AK21" s="151" t="s">
        <v>257</v>
      </c>
      <c r="AL21" s="151" t="s">
        <v>257</v>
      </c>
      <c r="AM21" s="71">
        <v>135</v>
      </c>
      <c r="AN21" s="71">
        <v>135</v>
      </c>
      <c r="AO21" s="230">
        <v>125</v>
      </c>
      <c r="AP21" s="230">
        <v>125</v>
      </c>
      <c r="AQ21" s="151" t="s">
        <v>257</v>
      </c>
      <c r="AR21" s="151" t="s">
        <v>257</v>
      </c>
      <c r="AS21" s="151" t="s">
        <v>257</v>
      </c>
      <c r="AT21" s="151" t="s">
        <v>257</v>
      </c>
      <c r="AU21" s="73"/>
      <c r="AV21" s="151" t="s">
        <v>257</v>
      </c>
      <c r="AW21" s="151" t="s">
        <v>257</v>
      </c>
      <c r="AX21" s="230" t="s">
        <v>318</v>
      </c>
      <c r="AY21" s="230" t="s">
        <v>318</v>
      </c>
      <c r="AZ21" s="230" t="s">
        <v>318</v>
      </c>
      <c r="BA21" s="230" t="s">
        <v>318</v>
      </c>
      <c r="BB21" s="151" t="s">
        <v>257</v>
      </c>
      <c r="BC21" s="151" t="s">
        <v>257</v>
      </c>
      <c r="BD21" s="151" t="s">
        <v>257</v>
      </c>
      <c r="BE21" s="151" t="s">
        <v>257</v>
      </c>
      <c r="BF21" s="73"/>
      <c r="BG21" s="37" t="s">
        <v>13</v>
      </c>
    </row>
    <row r="22" spans="1:59" ht="14.1" customHeight="1">
      <c r="A22" s="263"/>
      <c r="B22" s="266"/>
      <c r="C22" s="70" t="s">
        <v>101</v>
      </c>
      <c r="D22" s="151" t="s">
        <v>257</v>
      </c>
      <c r="E22" s="151">
        <v>125</v>
      </c>
      <c r="F22" s="151" t="s">
        <v>257</v>
      </c>
      <c r="G22" s="151">
        <v>174</v>
      </c>
      <c r="H22" s="151" t="s">
        <v>257</v>
      </c>
      <c r="I22" s="151">
        <v>100</v>
      </c>
      <c r="J22" s="151">
        <v>88</v>
      </c>
      <c r="K22" s="151">
        <v>74</v>
      </c>
      <c r="L22" s="151" t="s">
        <v>257</v>
      </c>
      <c r="M22" s="151" t="s">
        <v>257</v>
      </c>
      <c r="N22" s="73"/>
      <c r="O22" s="151" t="s">
        <v>257</v>
      </c>
      <c r="P22" s="151">
        <v>125</v>
      </c>
      <c r="Q22" s="151" t="s">
        <v>257</v>
      </c>
      <c r="R22" s="151">
        <v>110</v>
      </c>
      <c r="S22" s="151" t="s">
        <v>257</v>
      </c>
      <c r="T22" s="151">
        <v>100</v>
      </c>
      <c r="U22" s="151">
        <v>88</v>
      </c>
      <c r="V22" s="151">
        <v>74</v>
      </c>
      <c r="W22" s="151" t="s">
        <v>257</v>
      </c>
      <c r="X22" s="151" t="s">
        <v>257</v>
      </c>
      <c r="Y22" s="73"/>
      <c r="Z22" s="151" t="s">
        <v>257</v>
      </c>
      <c r="AA22" s="151">
        <v>110</v>
      </c>
      <c r="AB22" s="151" t="s">
        <v>257</v>
      </c>
      <c r="AC22" s="151">
        <v>174</v>
      </c>
      <c r="AD22" s="151" t="s">
        <v>257</v>
      </c>
      <c r="AE22" s="230">
        <v>90</v>
      </c>
      <c r="AF22" s="151" t="s">
        <v>257</v>
      </c>
      <c r="AG22" s="151" t="s">
        <v>257</v>
      </c>
      <c r="AH22" s="151" t="s">
        <v>257</v>
      </c>
      <c r="AI22" s="151" t="s">
        <v>257</v>
      </c>
      <c r="AJ22" s="73"/>
      <c r="AK22" s="151" t="s">
        <v>257</v>
      </c>
      <c r="AL22" s="151" t="s">
        <v>257</v>
      </c>
      <c r="AM22" s="71">
        <v>135</v>
      </c>
      <c r="AN22" s="71">
        <v>135</v>
      </c>
      <c r="AO22" s="230">
        <v>125</v>
      </c>
      <c r="AP22" s="230">
        <v>125</v>
      </c>
      <c r="AQ22" s="151" t="s">
        <v>257</v>
      </c>
      <c r="AR22" s="151" t="s">
        <v>257</v>
      </c>
      <c r="AS22" s="151" t="s">
        <v>257</v>
      </c>
      <c r="AT22" s="151" t="s">
        <v>257</v>
      </c>
      <c r="AU22" s="73"/>
      <c r="AV22" s="151" t="s">
        <v>257</v>
      </c>
      <c r="AW22" s="151" t="s">
        <v>257</v>
      </c>
      <c r="AX22" s="230" t="s">
        <v>318</v>
      </c>
      <c r="AY22" s="230" t="s">
        <v>318</v>
      </c>
      <c r="AZ22" s="230" t="s">
        <v>318</v>
      </c>
      <c r="BA22" s="230" t="s">
        <v>318</v>
      </c>
      <c r="BB22" s="151" t="s">
        <v>257</v>
      </c>
      <c r="BC22" s="151" t="s">
        <v>257</v>
      </c>
      <c r="BD22" s="151" t="s">
        <v>257</v>
      </c>
      <c r="BE22" s="151" t="s">
        <v>257</v>
      </c>
      <c r="BF22" s="73"/>
      <c r="BG22" s="37" t="s">
        <v>13</v>
      </c>
    </row>
    <row r="23" spans="1:59" ht="14.1" customHeight="1">
      <c r="A23" s="263"/>
      <c r="B23" s="266"/>
      <c r="C23" s="70" t="s">
        <v>99</v>
      </c>
      <c r="D23" s="151" t="s">
        <v>257</v>
      </c>
      <c r="E23" s="151">
        <v>180</v>
      </c>
      <c r="F23" s="151" t="s">
        <v>257</v>
      </c>
      <c r="G23" s="151">
        <v>252</v>
      </c>
      <c r="H23" s="151" t="s">
        <v>257</v>
      </c>
      <c r="I23" s="151">
        <v>135</v>
      </c>
      <c r="J23" s="151">
        <v>115</v>
      </c>
      <c r="K23" s="151">
        <v>95</v>
      </c>
      <c r="L23" s="151" t="s">
        <v>257</v>
      </c>
      <c r="M23" s="151" t="s">
        <v>257</v>
      </c>
      <c r="N23" s="73"/>
      <c r="O23" s="151" t="s">
        <v>257</v>
      </c>
      <c r="P23" s="151">
        <v>180</v>
      </c>
      <c r="Q23" s="151" t="s">
        <v>257</v>
      </c>
      <c r="R23" s="151">
        <v>155</v>
      </c>
      <c r="S23" s="151" t="s">
        <v>257</v>
      </c>
      <c r="T23" s="151">
        <v>135</v>
      </c>
      <c r="U23" s="151">
        <v>115</v>
      </c>
      <c r="V23" s="151">
        <v>95</v>
      </c>
      <c r="W23" s="151" t="s">
        <v>257</v>
      </c>
      <c r="X23" s="151" t="s">
        <v>257</v>
      </c>
      <c r="Y23" s="73"/>
      <c r="Z23" s="151" t="s">
        <v>257</v>
      </c>
      <c r="AA23" s="151">
        <v>130</v>
      </c>
      <c r="AB23" s="151" t="s">
        <v>257</v>
      </c>
      <c r="AC23" s="151">
        <v>252</v>
      </c>
      <c r="AD23" s="151" t="s">
        <v>257</v>
      </c>
      <c r="AE23" s="230">
        <v>110</v>
      </c>
      <c r="AF23" s="151" t="s">
        <v>257</v>
      </c>
      <c r="AG23" s="151" t="s">
        <v>257</v>
      </c>
      <c r="AH23" s="151" t="s">
        <v>257</v>
      </c>
      <c r="AI23" s="151" t="s">
        <v>257</v>
      </c>
      <c r="AJ23" s="73"/>
      <c r="AK23" s="151" t="s">
        <v>257</v>
      </c>
      <c r="AL23" s="151" t="s">
        <v>257</v>
      </c>
      <c r="AM23" s="71">
        <v>195</v>
      </c>
      <c r="AN23" s="71">
        <v>195</v>
      </c>
      <c r="AO23" s="230">
        <v>185</v>
      </c>
      <c r="AP23" s="230">
        <v>185</v>
      </c>
      <c r="AQ23" s="151" t="s">
        <v>257</v>
      </c>
      <c r="AR23" s="151" t="s">
        <v>257</v>
      </c>
      <c r="AS23" s="151" t="s">
        <v>257</v>
      </c>
      <c r="AT23" s="151" t="s">
        <v>257</v>
      </c>
      <c r="AU23" s="73"/>
      <c r="AV23" s="151" t="s">
        <v>257</v>
      </c>
      <c r="AW23" s="151" t="s">
        <v>257</v>
      </c>
      <c r="AX23" s="230">
        <v>211</v>
      </c>
      <c r="AY23" s="230">
        <v>211</v>
      </c>
      <c r="AZ23" s="230">
        <v>201</v>
      </c>
      <c r="BA23" s="230">
        <v>201</v>
      </c>
      <c r="BB23" s="151" t="s">
        <v>257</v>
      </c>
      <c r="BC23" s="151" t="s">
        <v>257</v>
      </c>
      <c r="BD23" s="151" t="s">
        <v>257</v>
      </c>
      <c r="BE23" s="151" t="s">
        <v>257</v>
      </c>
      <c r="BF23" s="73"/>
      <c r="BG23" s="37" t="s">
        <v>13</v>
      </c>
    </row>
    <row r="24" spans="1:59" ht="14.1" customHeight="1">
      <c r="A24" s="263" t="s">
        <v>227</v>
      </c>
      <c r="B24" s="266" t="s">
        <v>148</v>
      </c>
      <c r="C24" s="70" t="s">
        <v>100</v>
      </c>
      <c r="D24" s="151" t="s">
        <v>257</v>
      </c>
      <c r="E24" s="151">
        <v>126</v>
      </c>
      <c r="F24" s="151" t="s">
        <v>257</v>
      </c>
      <c r="G24" s="151">
        <v>133</v>
      </c>
      <c r="H24" s="151" t="s">
        <v>257</v>
      </c>
      <c r="I24" s="151">
        <v>103</v>
      </c>
      <c r="J24" s="151">
        <v>91</v>
      </c>
      <c r="K24" s="151">
        <v>79</v>
      </c>
      <c r="L24" s="151" t="s">
        <v>257</v>
      </c>
      <c r="M24" s="151" t="s">
        <v>257</v>
      </c>
      <c r="N24" s="73"/>
      <c r="O24" s="151" t="s">
        <v>257</v>
      </c>
      <c r="P24" s="151">
        <v>122</v>
      </c>
      <c r="Q24" s="151" t="s">
        <v>257</v>
      </c>
      <c r="R24" s="151">
        <v>110</v>
      </c>
      <c r="S24" s="151" t="s">
        <v>257</v>
      </c>
      <c r="T24" s="151">
        <v>99</v>
      </c>
      <c r="U24" s="151">
        <v>87</v>
      </c>
      <c r="V24" s="151">
        <v>75</v>
      </c>
      <c r="W24" s="151" t="s">
        <v>257</v>
      </c>
      <c r="X24" s="151" t="s">
        <v>257</v>
      </c>
      <c r="Y24" s="73"/>
      <c r="Z24" s="151" t="s">
        <v>257</v>
      </c>
      <c r="AA24" s="151">
        <v>110</v>
      </c>
      <c r="AB24" s="151" t="s">
        <v>257</v>
      </c>
      <c r="AC24" s="151">
        <v>133</v>
      </c>
      <c r="AD24" s="151" t="s">
        <v>257</v>
      </c>
      <c r="AE24" s="230">
        <v>90</v>
      </c>
      <c r="AF24" s="151" t="s">
        <v>257</v>
      </c>
      <c r="AG24" s="151" t="s">
        <v>257</v>
      </c>
      <c r="AH24" s="151" t="s">
        <v>257</v>
      </c>
      <c r="AI24" s="151" t="s">
        <v>257</v>
      </c>
      <c r="AJ24" s="73"/>
      <c r="AK24" s="151" t="s">
        <v>257</v>
      </c>
      <c r="AL24" s="151" t="s">
        <v>257</v>
      </c>
      <c r="AM24" s="71">
        <v>135</v>
      </c>
      <c r="AN24" s="71">
        <v>135</v>
      </c>
      <c r="AO24" s="230">
        <v>125</v>
      </c>
      <c r="AP24" s="230">
        <v>125</v>
      </c>
      <c r="AQ24" s="151" t="s">
        <v>257</v>
      </c>
      <c r="AR24" s="151" t="s">
        <v>257</v>
      </c>
      <c r="AS24" s="151" t="s">
        <v>257</v>
      </c>
      <c r="AT24" s="151" t="s">
        <v>257</v>
      </c>
      <c r="AU24" s="73"/>
      <c r="AV24" s="151" t="s">
        <v>257</v>
      </c>
      <c r="AW24" s="151" t="s">
        <v>257</v>
      </c>
      <c r="AX24" s="230" t="s">
        <v>318</v>
      </c>
      <c r="AY24" s="230" t="s">
        <v>318</v>
      </c>
      <c r="AZ24" s="230" t="s">
        <v>318</v>
      </c>
      <c r="BA24" s="230" t="s">
        <v>318</v>
      </c>
      <c r="BB24" s="151" t="s">
        <v>257</v>
      </c>
      <c r="BC24" s="151" t="s">
        <v>257</v>
      </c>
      <c r="BD24" s="151" t="s">
        <v>257</v>
      </c>
      <c r="BE24" s="151" t="s">
        <v>257</v>
      </c>
      <c r="BF24" s="73"/>
      <c r="BG24" s="37" t="s">
        <v>13</v>
      </c>
    </row>
    <row r="25" spans="1:59" ht="14.1" customHeight="1">
      <c r="A25" s="263"/>
      <c r="B25" s="266"/>
      <c r="C25" s="70" t="s">
        <v>101</v>
      </c>
      <c r="D25" s="151" t="s">
        <v>257</v>
      </c>
      <c r="E25" s="151">
        <v>126</v>
      </c>
      <c r="F25" s="151" t="s">
        <v>257</v>
      </c>
      <c r="G25" s="151">
        <v>141</v>
      </c>
      <c r="H25" s="151" t="s">
        <v>257</v>
      </c>
      <c r="I25" s="151">
        <v>103</v>
      </c>
      <c r="J25" s="151">
        <v>91</v>
      </c>
      <c r="K25" s="151">
        <v>79</v>
      </c>
      <c r="L25" s="151" t="s">
        <v>257</v>
      </c>
      <c r="M25" s="151" t="s">
        <v>257</v>
      </c>
      <c r="N25" s="73"/>
      <c r="O25" s="151" t="s">
        <v>257</v>
      </c>
      <c r="P25" s="151">
        <v>126</v>
      </c>
      <c r="Q25" s="151" t="s">
        <v>257</v>
      </c>
      <c r="R25" s="151">
        <v>114</v>
      </c>
      <c r="S25" s="151" t="s">
        <v>257</v>
      </c>
      <c r="T25" s="151">
        <v>103</v>
      </c>
      <c r="U25" s="151">
        <v>91</v>
      </c>
      <c r="V25" s="151">
        <v>79</v>
      </c>
      <c r="W25" s="151" t="s">
        <v>257</v>
      </c>
      <c r="X25" s="151" t="s">
        <v>257</v>
      </c>
      <c r="Y25" s="73"/>
      <c r="Z25" s="151" t="s">
        <v>257</v>
      </c>
      <c r="AA25" s="151">
        <v>110</v>
      </c>
      <c r="AB25" s="151" t="s">
        <v>257</v>
      </c>
      <c r="AC25" s="151">
        <v>141</v>
      </c>
      <c r="AD25" s="151" t="s">
        <v>257</v>
      </c>
      <c r="AE25" s="230">
        <v>90</v>
      </c>
      <c r="AF25" s="151" t="s">
        <v>257</v>
      </c>
      <c r="AG25" s="151" t="s">
        <v>257</v>
      </c>
      <c r="AH25" s="151" t="s">
        <v>257</v>
      </c>
      <c r="AI25" s="151" t="s">
        <v>257</v>
      </c>
      <c r="AJ25" s="73"/>
      <c r="AK25" s="151" t="s">
        <v>257</v>
      </c>
      <c r="AL25" s="151" t="s">
        <v>257</v>
      </c>
      <c r="AM25" s="71">
        <v>135</v>
      </c>
      <c r="AN25" s="71">
        <v>135</v>
      </c>
      <c r="AO25" s="230">
        <v>125</v>
      </c>
      <c r="AP25" s="230">
        <v>125</v>
      </c>
      <c r="AQ25" s="151" t="s">
        <v>257</v>
      </c>
      <c r="AR25" s="151" t="s">
        <v>257</v>
      </c>
      <c r="AS25" s="151" t="s">
        <v>257</v>
      </c>
      <c r="AT25" s="151" t="s">
        <v>257</v>
      </c>
      <c r="AU25" s="73"/>
      <c r="AV25" s="151" t="s">
        <v>257</v>
      </c>
      <c r="AW25" s="151" t="s">
        <v>257</v>
      </c>
      <c r="AX25" s="230" t="s">
        <v>318</v>
      </c>
      <c r="AY25" s="230" t="s">
        <v>318</v>
      </c>
      <c r="AZ25" s="230" t="s">
        <v>318</v>
      </c>
      <c r="BA25" s="230" t="s">
        <v>318</v>
      </c>
      <c r="BB25" s="151" t="s">
        <v>257</v>
      </c>
      <c r="BC25" s="151" t="s">
        <v>257</v>
      </c>
      <c r="BD25" s="151" t="s">
        <v>257</v>
      </c>
      <c r="BE25" s="151" t="s">
        <v>257</v>
      </c>
      <c r="BF25" s="73"/>
      <c r="BG25" s="37" t="s">
        <v>13</v>
      </c>
    </row>
    <row r="26" spans="1:59" ht="14.1" customHeight="1">
      <c r="A26" s="263"/>
      <c r="B26" s="266"/>
      <c r="C26" s="70" t="s">
        <v>99</v>
      </c>
      <c r="D26" s="151" t="s">
        <v>257</v>
      </c>
      <c r="E26" s="151">
        <v>184</v>
      </c>
      <c r="F26" s="151" t="s">
        <v>257</v>
      </c>
      <c r="G26" s="151">
        <v>190</v>
      </c>
      <c r="H26" s="151" t="s">
        <v>257</v>
      </c>
      <c r="I26" s="151">
        <v>146</v>
      </c>
      <c r="J26" s="151">
        <v>127</v>
      </c>
      <c r="K26" s="151">
        <v>107</v>
      </c>
      <c r="L26" s="151" t="s">
        <v>257</v>
      </c>
      <c r="M26" s="151" t="s">
        <v>257</v>
      </c>
      <c r="N26" s="73"/>
      <c r="O26" s="151" t="s">
        <v>257</v>
      </c>
      <c r="P26" s="151">
        <v>184</v>
      </c>
      <c r="Q26" s="151" t="s">
        <v>257</v>
      </c>
      <c r="R26" s="151">
        <v>164</v>
      </c>
      <c r="S26" s="151" t="s">
        <v>257</v>
      </c>
      <c r="T26" s="151">
        <v>146</v>
      </c>
      <c r="U26" s="151">
        <v>127</v>
      </c>
      <c r="V26" s="151">
        <v>107</v>
      </c>
      <c r="W26" s="151" t="s">
        <v>257</v>
      </c>
      <c r="X26" s="151" t="s">
        <v>257</v>
      </c>
      <c r="Y26" s="73"/>
      <c r="Z26" s="151" t="s">
        <v>257</v>
      </c>
      <c r="AA26" s="151">
        <v>140</v>
      </c>
      <c r="AB26" s="151" t="s">
        <v>257</v>
      </c>
      <c r="AC26" s="151">
        <v>190</v>
      </c>
      <c r="AD26" s="151" t="s">
        <v>257</v>
      </c>
      <c r="AE26" s="230">
        <v>120</v>
      </c>
      <c r="AF26" s="151" t="s">
        <v>257</v>
      </c>
      <c r="AG26" s="151" t="s">
        <v>257</v>
      </c>
      <c r="AH26" s="151" t="s">
        <v>257</v>
      </c>
      <c r="AI26" s="151" t="s">
        <v>257</v>
      </c>
      <c r="AJ26" s="73"/>
      <c r="AK26" s="151" t="s">
        <v>257</v>
      </c>
      <c r="AL26" s="151" t="s">
        <v>257</v>
      </c>
      <c r="AM26" s="71">
        <v>195</v>
      </c>
      <c r="AN26" s="71">
        <v>195</v>
      </c>
      <c r="AO26" s="230">
        <v>185</v>
      </c>
      <c r="AP26" s="230">
        <v>185</v>
      </c>
      <c r="AQ26" s="151" t="s">
        <v>257</v>
      </c>
      <c r="AR26" s="151" t="s">
        <v>257</v>
      </c>
      <c r="AS26" s="151" t="s">
        <v>257</v>
      </c>
      <c r="AT26" s="151" t="s">
        <v>257</v>
      </c>
      <c r="AU26" s="73"/>
      <c r="AV26" s="151" t="s">
        <v>257</v>
      </c>
      <c r="AW26" s="151" t="s">
        <v>257</v>
      </c>
      <c r="AX26" s="230">
        <v>211</v>
      </c>
      <c r="AY26" s="230">
        <v>211</v>
      </c>
      <c r="AZ26" s="230">
        <v>201</v>
      </c>
      <c r="BA26" s="230">
        <v>201</v>
      </c>
      <c r="BB26" s="151" t="s">
        <v>257</v>
      </c>
      <c r="BC26" s="151" t="s">
        <v>257</v>
      </c>
      <c r="BD26" s="151" t="s">
        <v>257</v>
      </c>
      <c r="BE26" s="151" t="s">
        <v>257</v>
      </c>
      <c r="BF26" s="73"/>
      <c r="BG26" s="37" t="s">
        <v>13</v>
      </c>
    </row>
    <row r="27" spans="1:59" ht="14.1" customHeight="1">
      <c r="A27" s="263" t="s">
        <v>249</v>
      </c>
      <c r="B27" s="269" t="s">
        <v>149</v>
      </c>
      <c r="C27" s="70" t="s">
        <v>98</v>
      </c>
      <c r="D27" s="151" t="s">
        <v>257</v>
      </c>
      <c r="E27" s="151">
        <v>170</v>
      </c>
      <c r="F27" s="151" t="s">
        <v>257</v>
      </c>
      <c r="G27" s="151">
        <v>242</v>
      </c>
      <c r="H27" s="151" t="s">
        <v>257</v>
      </c>
      <c r="I27" s="151">
        <v>160</v>
      </c>
      <c r="J27" s="151">
        <v>160</v>
      </c>
      <c r="K27" s="151">
        <v>155</v>
      </c>
      <c r="L27" s="151" t="s">
        <v>257</v>
      </c>
      <c r="M27" s="151" t="s">
        <v>257</v>
      </c>
      <c r="N27" s="73"/>
      <c r="O27" s="151" t="s">
        <v>257</v>
      </c>
      <c r="P27" s="151">
        <v>190</v>
      </c>
      <c r="Q27" s="151" t="s">
        <v>257</v>
      </c>
      <c r="R27" s="151">
        <v>184</v>
      </c>
      <c r="S27" s="151" t="s">
        <v>257</v>
      </c>
      <c r="T27" s="151">
        <v>182</v>
      </c>
      <c r="U27" s="151">
        <v>181</v>
      </c>
      <c r="V27" s="151">
        <v>179</v>
      </c>
      <c r="W27" s="151" t="s">
        <v>257</v>
      </c>
      <c r="X27" s="151" t="s">
        <v>257</v>
      </c>
      <c r="Y27" s="73"/>
      <c r="Z27" s="151" t="s">
        <v>257</v>
      </c>
      <c r="AA27" s="151">
        <v>160</v>
      </c>
      <c r="AB27" s="151" t="s">
        <v>257</v>
      </c>
      <c r="AC27" s="151">
        <v>242</v>
      </c>
      <c r="AD27" s="151" t="s">
        <v>257</v>
      </c>
      <c r="AE27" s="230">
        <v>152</v>
      </c>
      <c r="AF27" s="151" t="s">
        <v>257</v>
      </c>
      <c r="AG27" s="151" t="s">
        <v>257</v>
      </c>
      <c r="AH27" s="151" t="s">
        <v>257</v>
      </c>
      <c r="AI27" s="151" t="s">
        <v>257</v>
      </c>
      <c r="AJ27" s="73"/>
      <c r="AK27" s="151" t="s">
        <v>257</v>
      </c>
      <c r="AL27" s="151" t="s">
        <v>257</v>
      </c>
      <c r="AM27" s="71">
        <v>250</v>
      </c>
      <c r="AN27" s="71">
        <v>250</v>
      </c>
      <c r="AO27" s="230">
        <v>245</v>
      </c>
      <c r="AP27" s="230">
        <v>245</v>
      </c>
      <c r="AQ27" s="151" t="s">
        <v>257</v>
      </c>
      <c r="AR27" s="151" t="s">
        <v>257</v>
      </c>
      <c r="AS27" s="151" t="s">
        <v>257</v>
      </c>
      <c r="AT27" s="151" t="s">
        <v>257</v>
      </c>
      <c r="AU27" s="73"/>
      <c r="AV27" s="151" t="s">
        <v>257</v>
      </c>
      <c r="AW27" s="151" t="s">
        <v>257</v>
      </c>
      <c r="AX27" s="230" t="s">
        <v>318</v>
      </c>
      <c r="AY27" s="230" t="s">
        <v>318</v>
      </c>
      <c r="AZ27" s="230" t="s">
        <v>318</v>
      </c>
      <c r="BA27" s="230" t="s">
        <v>318</v>
      </c>
      <c r="BB27" s="151" t="s">
        <v>257</v>
      </c>
      <c r="BC27" s="151" t="s">
        <v>257</v>
      </c>
      <c r="BD27" s="151" t="s">
        <v>257</v>
      </c>
      <c r="BE27" s="151" t="s">
        <v>257</v>
      </c>
      <c r="BF27" s="73"/>
      <c r="BG27" s="37" t="s">
        <v>13</v>
      </c>
    </row>
    <row r="28" spans="1:59" ht="14.1" customHeight="1">
      <c r="A28" s="263"/>
      <c r="B28" s="269"/>
      <c r="C28" s="70" t="s">
        <v>99</v>
      </c>
      <c r="D28" s="151" t="s">
        <v>257</v>
      </c>
      <c r="E28" s="151">
        <v>170</v>
      </c>
      <c r="F28" s="151" t="s">
        <v>257</v>
      </c>
      <c r="G28" s="151">
        <v>242</v>
      </c>
      <c r="H28" s="151" t="s">
        <v>257</v>
      </c>
      <c r="I28" s="151">
        <v>160</v>
      </c>
      <c r="J28" s="151">
        <v>160</v>
      </c>
      <c r="K28" s="151">
        <v>155</v>
      </c>
      <c r="L28" s="151" t="s">
        <v>257</v>
      </c>
      <c r="M28" s="151" t="s">
        <v>257</v>
      </c>
      <c r="N28" s="73"/>
      <c r="O28" s="151" t="s">
        <v>257</v>
      </c>
      <c r="P28" s="151">
        <v>190</v>
      </c>
      <c r="Q28" s="151" t="s">
        <v>257</v>
      </c>
      <c r="R28" s="151">
        <v>184</v>
      </c>
      <c r="S28" s="151" t="s">
        <v>257</v>
      </c>
      <c r="T28" s="151">
        <v>182</v>
      </c>
      <c r="U28" s="151">
        <v>181</v>
      </c>
      <c r="V28" s="151">
        <v>179</v>
      </c>
      <c r="W28" s="151" t="s">
        <v>257</v>
      </c>
      <c r="X28" s="151" t="s">
        <v>257</v>
      </c>
      <c r="Y28" s="73"/>
      <c r="Z28" s="151" t="s">
        <v>257</v>
      </c>
      <c r="AA28" s="151">
        <v>160</v>
      </c>
      <c r="AB28" s="151" t="s">
        <v>257</v>
      </c>
      <c r="AC28" s="151">
        <v>242</v>
      </c>
      <c r="AD28" s="151" t="s">
        <v>257</v>
      </c>
      <c r="AE28" s="230">
        <v>156</v>
      </c>
      <c r="AF28" s="151" t="s">
        <v>257</v>
      </c>
      <c r="AG28" s="151" t="s">
        <v>257</v>
      </c>
      <c r="AH28" s="151" t="s">
        <v>257</v>
      </c>
      <c r="AI28" s="151" t="s">
        <v>257</v>
      </c>
      <c r="AJ28" s="73"/>
      <c r="AK28" s="151" t="s">
        <v>257</v>
      </c>
      <c r="AL28" s="151" t="s">
        <v>257</v>
      </c>
      <c r="AM28" s="71">
        <v>250</v>
      </c>
      <c r="AN28" s="71">
        <v>250</v>
      </c>
      <c r="AO28" s="230">
        <v>245</v>
      </c>
      <c r="AP28" s="230">
        <v>245</v>
      </c>
      <c r="AQ28" s="151" t="s">
        <v>257</v>
      </c>
      <c r="AR28" s="151" t="s">
        <v>257</v>
      </c>
      <c r="AS28" s="151" t="s">
        <v>257</v>
      </c>
      <c r="AT28" s="151" t="s">
        <v>257</v>
      </c>
      <c r="AU28" s="73"/>
      <c r="AV28" s="151" t="s">
        <v>257</v>
      </c>
      <c r="AW28" s="151" t="s">
        <v>257</v>
      </c>
      <c r="AX28" s="230">
        <v>261</v>
      </c>
      <c r="AY28" s="230">
        <v>261</v>
      </c>
      <c r="AZ28" s="230">
        <v>256</v>
      </c>
      <c r="BA28" s="230">
        <v>256</v>
      </c>
      <c r="BB28" s="151" t="s">
        <v>257</v>
      </c>
      <c r="BC28" s="151" t="s">
        <v>257</v>
      </c>
      <c r="BD28" s="151" t="s">
        <v>257</v>
      </c>
      <c r="BE28" s="151" t="s">
        <v>257</v>
      </c>
      <c r="BF28" s="73"/>
      <c r="BG28" s="37" t="s">
        <v>13</v>
      </c>
    </row>
    <row r="29" spans="1:59" ht="15">
      <c r="A29" s="278"/>
      <c r="B29" s="279"/>
      <c r="C29" s="280"/>
      <c r="D29" s="128"/>
      <c r="E29" s="128"/>
      <c r="F29" s="128"/>
      <c r="G29" s="128"/>
      <c r="H29" s="128"/>
      <c r="I29" s="128"/>
      <c r="J29" s="128"/>
      <c r="K29" s="128"/>
      <c r="L29" s="74"/>
      <c r="M29" s="75"/>
      <c r="N29" s="73"/>
      <c r="O29" s="128"/>
      <c r="P29" s="128"/>
      <c r="Q29" s="128"/>
      <c r="R29" s="128"/>
      <c r="S29" s="128"/>
      <c r="T29" s="128"/>
      <c r="U29" s="128"/>
      <c r="V29" s="128"/>
      <c r="W29" s="128"/>
      <c r="X29" s="74"/>
      <c r="Y29" s="73"/>
      <c r="Z29" s="128"/>
      <c r="AA29" s="128"/>
      <c r="AB29" s="128"/>
      <c r="AC29" s="262"/>
      <c r="AD29" s="128"/>
      <c r="AE29" s="128"/>
      <c r="AF29" s="128"/>
      <c r="AG29" s="128"/>
      <c r="AH29" s="74"/>
      <c r="AI29" s="75"/>
      <c r="AJ29" s="73"/>
      <c r="AK29" s="250"/>
      <c r="AL29" s="250"/>
      <c r="AM29" s="250"/>
      <c r="AN29" s="250"/>
      <c r="AO29" s="250"/>
      <c r="AP29" s="250"/>
      <c r="AQ29" s="250"/>
      <c r="AR29" s="250"/>
      <c r="AS29" s="74"/>
      <c r="AT29" s="75"/>
      <c r="AU29" s="73"/>
      <c r="AV29" s="250"/>
      <c r="AW29" s="250"/>
      <c r="AX29" s="250"/>
      <c r="AY29" s="250"/>
      <c r="AZ29" s="250"/>
      <c r="BA29" s="250"/>
      <c r="BB29" s="250"/>
      <c r="BC29" s="250"/>
      <c r="BD29" s="74"/>
      <c r="BE29" s="75"/>
      <c r="BF29" s="73"/>
      <c r="BG29" s="38"/>
    </row>
    <row r="30" spans="1:59" ht="30.75" customHeight="1">
      <c r="A30" s="53"/>
      <c r="B30" s="277" t="s">
        <v>188</v>
      </c>
      <c r="C30" s="277"/>
      <c r="D30" s="71">
        <v>0.93799999999999994</v>
      </c>
      <c r="E30" s="71">
        <v>0.93799999999999994</v>
      </c>
      <c r="F30" s="71">
        <v>1.07</v>
      </c>
      <c r="G30" s="71">
        <v>1.07</v>
      </c>
      <c r="H30" s="71">
        <v>1.25</v>
      </c>
      <c r="I30" s="71">
        <v>1.25</v>
      </c>
      <c r="J30" s="71">
        <v>1.5</v>
      </c>
      <c r="K30" s="71">
        <v>1.875</v>
      </c>
      <c r="L30" s="71">
        <v>1.875</v>
      </c>
      <c r="M30" s="71">
        <v>2.5</v>
      </c>
      <c r="N30" s="72"/>
      <c r="O30" s="71">
        <v>0.93799999999999994</v>
      </c>
      <c r="P30" s="71">
        <v>0.93799999999999994</v>
      </c>
      <c r="Q30" s="71">
        <v>1.07</v>
      </c>
      <c r="R30" s="71">
        <v>1.07</v>
      </c>
      <c r="S30" s="71">
        <v>1.25</v>
      </c>
      <c r="T30" s="71">
        <v>1.25</v>
      </c>
      <c r="U30" s="71">
        <v>1.5</v>
      </c>
      <c r="V30" s="71">
        <v>1.875</v>
      </c>
      <c r="W30" s="71">
        <v>1.875</v>
      </c>
      <c r="X30" s="71">
        <v>2.5</v>
      </c>
      <c r="Y30" s="72"/>
      <c r="Z30" s="71">
        <v>0.93799999999999994</v>
      </c>
      <c r="AA30" s="71">
        <v>0.93799999999999994</v>
      </c>
      <c r="AB30" s="71">
        <v>1.07</v>
      </c>
      <c r="AC30" s="71">
        <v>1.07</v>
      </c>
      <c r="AD30" s="71">
        <v>1.25</v>
      </c>
      <c r="AE30" s="71">
        <v>1.25</v>
      </c>
      <c r="AF30" s="71">
        <v>1.5</v>
      </c>
      <c r="AG30" s="71">
        <v>1.875</v>
      </c>
      <c r="AH30" s="71">
        <v>1.875</v>
      </c>
      <c r="AI30" s="71">
        <v>2.5</v>
      </c>
      <c r="AJ30" s="72"/>
      <c r="AK30" s="71">
        <v>0.93799999999999994</v>
      </c>
      <c r="AL30" s="71">
        <v>0.93799999999999994</v>
      </c>
      <c r="AM30" s="71">
        <v>1.07</v>
      </c>
      <c r="AN30" s="71">
        <v>1.07</v>
      </c>
      <c r="AO30" s="71">
        <v>1.25</v>
      </c>
      <c r="AP30" s="71">
        <v>1.25</v>
      </c>
      <c r="AQ30" s="71">
        <v>1.5</v>
      </c>
      <c r="AR30" s="71">
        <v>1.875</v>
      </c>
      <c r="AS30" s="71">
        <v>1.875</v>
      </c>
      <c r="AT30" s="71">
        <v>2.5</v>
      </c>
      <c r="AU30" s="72"/>
      <c r="AV30" s="71">
        <v>0.93799999999999994</v>
      </c>
      <c r="AW30" s="71">
        <v>0.93799999999999994</v>
      </c>
      <c r="AX30" s="71">
        <v>1.07</v>
      </c>
      <c r="AY30" s="71">
        <v>1.07</v>
      </c>
      <c r="AZ30" s="71">
        <v>1.25</v>
      </c>
      <c r="BA30" s="71">
        <v>1.25</v>
      </c>
      <c r="BB30" s="71">
        <v>1.5</v>
      </c>
      <c r="BC30" s="71">
        <v>1.875</v>
      </c>
      <c r="BD30" s="71">
        <v>1.875</v>
      </c>
      <c r="BE30" s="71">
        <v>2.5</v>
      </c>
      <c r="BF30" s="72"/>
      <c r="BG30" s="37" t="s">
        <v>36</v>
      </c>
    </row>
    <row r="31" spans="1:59" ht="14.1" customHeight="1">
      <c r="A31" s="272" t="s">
        <v>189</v>
      </c>
      <c r="B31" s="267" t="s">
        <v>1</v>
      </c>
      <c r="C31" s="70" t="s">
        <v>98</v>
      </c>
      <c r="D31" s="71">
        <v>6</v>
      </c>
      <c r="E31" s="71">
        <v>6</v>
      </c>
      <c r="F31" s="71">
        <v>6</v>
      </c>
      <c r="G31" s="71">
        <v>5</v>
      </c>
      <c r="H31" s="71">
        <v>6</v>
      </c>
      <c r="I31" s="71">
        <v>6</v>
      </c>
      <c r="J31" s="71">
        <v>6</v>
      </c>
      <c r="K31" s="71">
        <v>7.5</v>
      </c>
      <c r="L31" s="71">
        <v>7.5</v>
      </c>
      <c r="M31" s="71">
        <v>10</v>
      </c>
      <c r="N31" s="72"/>
      <c r="O31" s="71">
        <v>6</v>
      </c>
      <c r="P31" s="71">
        <v>6</v>
      </c>
      <c r="Q31" s="71">
        <v>6</v>
      </c>
      <c r="R31" s="71">
        <v>6</v>
      </c>
      <c r="S31" s="71">
        <v>6</v>
      </c>
      <c r="T31" s="71">
        <v>6</v>
      </c>
      <c r="U31" s="71">
        <v>6</v>
      </c>
      <c r="V31" s="71">
        <v>7.5</v>
      </c>
      <c r="W31" s="71">
        <v>7.5</v>
      </c>
      <c r="X31" s="71">
        <v>10</v>
      </c>
      <c r="Y31" s="72"/>
      <c r="Z31" s="71">
        <v>6</v>
      </c>
      <c r="AA31" s="71">
        <v>6</v>
      </c>
      <c r="AB31" s="71">
        <v>6</v>
      </c>
      <c r="AC31" s="71">
        <v>5</v>
      </c>
      <c r="AD31" s="71">
        <v>6</v>
      </c>
      <c r="AE31" s="71">
        <v>6</v>
      </c>
      <c r="AF31" s="71">
        <v>6</v>
      </c>
      <c r="AG31" s="71">
        <v>7.5</v>
      </c>
      <c r="AH31" s="71">
        <v>7.5</v>
      </c>
      <c r="AI31" s="71">
        <v>10</v>
      </c>
      <c r="AJ31" s="72"/>
      <c r="AK31" s="71">
        <v>6</v>
      </c>
      <c r="AL31" s="71">
        <v>6</v>
      </c>
      <c r="AM31" s="71">
        <v>6</v>
      </c>
      <c r="AN31" s="71">
        <v>6</v>
      </c>
      <c r="AO31" s="71">
        <v>6</v>
      </c>
      <c r="AP31" s="71">
        <v>6</v>
      </c>
      <c r="AQ31" s="71">
        <v>6</v>
      </c>
      <c r="AR31" s="71">
        <v>7.5</v>
      </c>
      <c r="AS31" s="71">
        <v>7.5</v>
      </c>
      <c r="AT31" s="71">
        <v>10</v>
      </c>
      <c r="AU31" s="72"/>
      <c r="AV31" s="71">
        <v>6</v>
      </c>
      <c r="AW31" s="71">
        <v>6</v>
      </c>
      <c r="AX31" s="71">
        <v>6</v>
      </c>
      <c r="AY31" s="71">
        <v>6</v>
      </c>
      <c r="AZ31" s="71">
        <v>6</v>
      </c>
      <c r="BA31" s="71">
        <v>6</v>
      </c>
      <c r="BB31" s="71">
        <v>6</v>
      </c>
      <c r="BC31" s="71">
        <v>7.5</v>
      </c>
      <c r="BD31" s="71">
        <v>7.5</v>
      </c>
      <c r="BE31" s="71">
        <v>10</v>
      </c>
      <c r="BF31" s="72"/>
      <c r="BG31" s="37" t="s">
        <v>36</v>
      </c>
    </row>
    <row r="32" spans="1:59" ht="14.1" customHeight="1">
      <c r="A32" s="273"/>
      <c r="B32" s="268"/>
      <c r="C32" s="70" t="s">
        <v>99</v>
      </c>
      <c r="D32" s="71">
        <v>7.5</v>
      </c>
      <c r="E32" s="71">
        <v>7.5</v>
      </c>
      <c r="F32" s="71">
        <v>7.5</v>
      </c>
      <c r="G32" s="71">
        <v>6</v>
      </c>
      <c r="H32" s="71">
        <v>7.5</v>
      </c>
      <c r="I32" s="71">
        <v>7.5</v>
      </c>
      <c r="J32" s="71">
        <v>7.5</v>
      </c>
      <c r="K32" s="71">
        <v>10</v>
      </c>
      <c r="L32" s="71">
        <v>10</v>
      </c>
      <c r="M32" s="71">
        <v>10</v>
      </c>
      <c r="N32" s="72"/>
      <c r="O32" s="71">
        <v>7.5</v>
      </c>
      <c r="P32" s="71">
        <v>7.5</v>
      </c>
      <c r="Q32" s="71">
        <v>7.5</v>
      </c>
      <c r="R32" s="71">
        <v>7.5</v>
      </c>
      <c r="S32" s="71">
        <v>7.5</v>
      </c>
      <c r="T32" s="71">
        <v>7.5</v>
      </c>
      <c r="U32" s="71">
        <v>7.5</v>
      </c>
      <c r="V32" s="71">
        <v>10</v>
      </c>
      <c r="W32" s="71">
        <v>10</v>
      </c>
      <c r="X32" s="71">
        <v>10</v>
      </c>
      <c r="Y32" s="72"/>
      <c r="Z32" s="71">
        <v>7.5</v>
      </c>
      <c r="AA32" s="71">
        <v>7.5</v>
      </c>
      <c r="AB32" s="71">
        <v>7.5</v>
      </c>
      <c r="AC32" s="71">
        <v>6</v>
      </c>
      <c r="AD32" s="71">
        <v>7.5</v>
      </c>
      <c r="AE32" s="71">
        <v>7.5</v>
      </c>
      <c r="AF32" s="71">
        <v>7.5</v>
      </c>
      <c r="AG32" s="71">
        <v>10</v>
      </c>
      <c r="AH32" s="71">
        <v>10</v>
      </c>
      <c r="AI32" s="71">
        <v>10</v>
      </c>
      <c r="AJ32" s="72"/>
      <c r="AK32" s="71">
        <v>7.5</v>
      </c>
      <c r="AL32" s="71">
        <v>7.5</v>
      </c>
      <c r="AM32" s="71">
        <v>7.5</v>
      </c>
      <c r="AN32" s="71">
        <v>7.5</v>
      </c>
      <c r="AO32" s="71">
        <v>7.5</v>
      </c>
      <c r="AP32" s="71">
        <v>7.5</v>
      </c>
      <c r="AQ32" s="71">
        <v>7.5</v>
      </c>
      <c r="AR32" s="71">
        <v>10</v>
      </c>
      <c r="AS32" s="71">
        <v>10</v>
      </c>
      <c r="AT32" s="71">
        <v>10</v>
      </c>
      <c r="AU32" s="72"/>
      <c r="AV32" s="71">
        <v>7.5</v>
      </c>
      <c r="AW32" s="71">
        <v>7.5</v>
      </c>
      <c r="AX32" s="71">
        <v>7.5</v>
      </c>
      <c r="AY32" s="71">
        <v>7.5</v>
      </c>
      <c r="AZ32" s="71">
        <v>7.5</v>
      </c>
      <c r="BA32" s="71">
        <v>7.5</v>
      </c>
      <c r="BB32" s="71">
        <v>7.5</v>
      </c>
      <c r="BC32" s="71">
        <v>10</v>
      </c>
      <c r="BD32" s="71">
        <v>10</v>
      </c>
      <c r="BE32" s="71">
        <v>10</v>
      </c>
      <c r="BF32" s="72"/>
      <c r="BG32" s="37" t="s">
        <v>36</v>
      </c>
    </row>
    <row r="33" spans="1:59" ht="18" customHeight="1">
      <c r="A33" s="76" t="s">
        <v>190</v>
      </c>
      <c r="B33" s="266" t="s">
        <v>150</v>
      </c>
      <c r="C33" s="266"/>
      <c r="D33" s="71">
        <v>45.155000000000001</v>
      </c>
      <c r="E33" s="71">
        <v>46.09</v>
      </c>
      <c r="F33" s="71">
        <v>46.84</v>
      </c>
      <c r="G33" s="71">
        <v>45</v>
      </c>
      <c r="H33" s="71">
        <v>47.5</v>
      </c>
      <c r="I33" s="71">
        <v>48.75</v>
      </c>
      <c r="J33" s="71">
        <v>49.5</v>
      </c>
      <c r="K33" s="71">
        <v>50.625</v>
      </c>
      <c r="L33" s="71">
        <v>52.5</v>
      </c>
      <c r="M33" s="71">
        <v>52.5</v>
      </c>
      <c r="N33" s="72"/>
      <c r="O33" s="71">
        <v>45.155000000000001</v>
      </c>
      <c r="P33" s="71">
        <v>46.09</v>
      </c>
      <c r="Q33" s="71">
        <v>46.84</v>
      </c>
      <c r="R33" s="71">
        <v>47.91</v>
      </c>
      <c r="S33" s="71">
        <v>47.5</v>
      </c>
      <c r="T33" s="71">
        <v>48.75</v>
      </c>
      <c r="U33" s="71">
        <v>49.5</v>
      </c>
      <c r="V33" s="71">
        <v>50.625</v>
      </c>
      <c r="W33" s="71">
        <v>52.5</v>
      </c>
      <c r="X33" s="71">
        <v>52.5</v>
      </c>
      <c r="Y33" s="72"/>
      <c r="Z33" s="71">
        <v>45.155000000000001</v>
      </c>
      <c r="AA33" s="71">
        <v>46.09</v>
      </c>
      <c r="AB33" s="71">
        <v>46.84</v>
      </c>
      <c r="AC33" s="71">
        <v>45</v>
      </c>
      <c r="AD33" s="71">
        <v>47.5</v>
      </c>
      <c r="AE33" s="71">
        <v>48.75</v>
      </c>
      <c r="AF33" s="71">
        <v>49.5</v>
      </c>
      <c r="AG33" s="71">
        <v>50.625</v>
      </c>
      <c r="AH33" s="71">
        <v>52.5</v>
      </c>
      <c r="AI33" s="71">
        <v>52.5</v>
      </c>
      <c r="AJ33" s="72"/>
      <c r="AK33" s="71">
        <v>45.155000000000001</v>
      </c>
      <c r="AL33" s="71">
        <v>46.09</v>
      </c>
      <c r="AM33" s="71">
        <v>46.84</v>
      </c>
      <c r="AN33" s="71">
        <v>47.91</v>
      </c>
      <c r="AO33" s="71">
        <v>47.5</v>
      </c>
      <c r="AP33" s="71">
        <v>48.75</v>
      </c>
      <c r="AQ33" s="71">
        <v>49.5</v>
      </c>
      <c r="AR33" s="71">
        <v>50.625</v>
      </c>
      <c r="AS33" s="71">
        <v>52.5</v>
      </c>
      <c r="AT33" s="71">
        <v>52.5</v>
      </c>
      <c r="AU33" s="72"/>
      <c r="AV33" s="71">
        <v>45.155000000000001</v>
      </c>
      <c r="AW33" s="71">
        <v>46.09</v>
      </c>
      <c r="AX33" s="71">
        <v>46.84</v>
      </c>
      <c r="AY33" s="71">
        <v>47.91</v>
      </c>
      <c r="AZ33" s="71">
        <v>47.5</v>
      </c>
      <c r="BA33" s="71">
        <v>48.75</v>
      </c>
      <c r="BB33" s="71">
        <v>49.5</v>
      </c>
      <c r="BC33" s="71">
        <v>50.625</v>
      </c>
      <c r="BD33" s="71">
        <v>52.5</v>
      </c>
      <c r="BE33" s="71">
        <v>52.5</v>
      </c>
      <c r="BF33" s="72"/>
      <c r="BG33" s="37" t="s">
        <v>36</v>
      </c>
    </row>
    <row r="34" spans="1:59" ht="18" customHeight="1">
      <c r="A34" s="76" t="s">
        <v>191</v>
      </c>
      <c r="B34" s="277" t="s">
        <v>192</v>
      </c>
      <c r="C34" s="266"/>
      <c r="D34" s="71">
        <v>36</v>
      </c>
      <c r="E34" s="71">
        <v>36</v>
      </c>
      <c r="F34" s="71">
        <v>34</v>
      </c>
      <c r="G34" s="71">
        <v>32</v>
      </c>
      <c r="H34" s="71">
        <v>35</v>
      </c>
      <c r="I34" s="71">
        <v>35</v>
      </c>
      <c r="J34" s="71">
        <v>36</v>
      </c>
      <c r="K34" s="71">
        <v>37.5</v>
      </c>
      <c r="L34" s="71">
        <v>37.5</v>
      </c>
      <c r="M34" s="71">
        <v>37.5</v>
      </c>
      <c r="N34" s="72"/>
      <c r="O34" s="71">
        <v>36</v>
      </c>
      <c r="P34" s="71">
        <v>36</v>
      </c>
      <c r="Q34" s="71">
        <v>34</v>
      </c>
      <c r="R34" s="71">
        <v>34</v>
      </c>
      <c r="S34" s="71">
        <v>35</v>
      </c>
      <c r="T34" s="71">
        <v>35</v>
      </c>
      <c r="U34" s="71">
        <v>36</v>
      </c>
      <c r="V34" s="71">
        <v>37.5</v>
      </c>
      <c r="W34" s="71">
        <v>37.5</v>
      </c>
      <c r="X34" s="71">
        <v>37.5</v>
      </c>
      <c r="Y34" s="72"/>
      <c r="Z34" s="71">
        <v>36</v>
      </c>
      <c r="AA34" s="71">
        <v>36</v>
      </c>
      <c r="AB34" s="71">
        <v>34</v>
      </c>
      <c r="AC34" s="71">
        <v>32</v>
      </c>
      <c r="AD34" s="71">
        <v>35</v>
      </c>
      <c r="AE34" s="71">
        <v>35</v>
      </c>
      <c r="AF34" s="71">
        <v>36</v>
      </c>
      <c r="AG34" s="71">
        <v>37.5</v>
      </c>
      <c r="AH34" s="71">
        <v>37.5</v>
      </c>
      <c r="AI34" s="71">
        <v>37.5</v>
      </c>
      <c r="AJ34" s="72"/>
      <c r="AK34" s="71">
        <v>36</v>
      </c>
      <c r="AL34" s="71">
        <v>36</v>
      </c>
      <c r="AM34" s="71">
        <v>34</v>
      </c>
      <c r="AN34" s="71">
        <v>34</v>
      </c>
      <c r="AO34" s="71">
        <v>35</v>
      </c>
      <c r="AP34" s="71">
        <v>35</v>
      </c>
      <c r="AQ34" s="71">
        <v>36</v>
      </c>
      <c r="AR34" s="71">
        <v>37.5</v>
      </c>
      <c r="AS34" s="71">
        <v>37.5</v>
      </c>
      <c r="AT34" s="71">
        <v>37.5</v>
      </c>
      <c r="AU34" s="72"/>
      <c r="AV34" s="71">
        <v>36</v>
      </c>
      <c r="AW34" s="71">
        <v>36</v>
      </c>
      <c r="AX34" s="71">
        <v>34</v>
      </c>
      <c r="AY34" s="71">
        <v>34</v>
      </c>
      <c r="AZ34" s="71">
        <v>35</v>
      </c>
      <c r="BA34" s="71">
        <v>35</v>
      </c>
      <c r="BB34" s="71">
        <v>36</v>
      </c>
      <c r="BC34" s="71">
        <v>37.5</v>
      </c>
      <c r="BD34" s="71">
        <v>37.5</v>
      </c>
      <c r="BE34" s="71">
        <v>37.5</v>
      </c>
      <c r="BF34" s="72"/>
      <c r="BG34" s="37" t="s">
        <v>36</v>
      </c>
    </row>
    <row r="35" spans="1:59" ht="18" customHeight="1">
      <c r="A35" s="76" t="s">
        <v>193</v>
      </c>
      <c r="B35" s="266" t="s">
        <v>151</v>
      </c>
      <c r="C35" s="266"/>
      <c r="D35" s="71">
        <v>110</v>
      </c>
      <c r="E35" s="71">
        <v>110</v>
      </c>
      <c r="F35" s="71">
        <v>110</v>
      </c>
      <c r="G35" s="71">
        <v>243</v>
      </c>
      <c r="H35" s="71">
        <v>110</v>
      </c>
      <c r="I35" s="71">
        <v>110</v>
      </c>
      <c r="J35" s="71">
        <v>110</v>
      </c>
      <c r="K35" s="71">
        <v>110</v>
      </c>
      <c r="L35" s="71">
        <v>110</v>
      </c>
      <c r="M35" s="71">
        <v>110</v>
      </c>
      <c r="N35" s="68"/>
      <c r="O35" s="71">
        <v>160</v>
      </c>
      <c r="P35" s="71">
        <v>160</v>
      </c>
      <c r="Q35" s="71">
        <v>160</v>
      </c>
      <c r="R35" s="71">
        <v>160</v>
      </c>
      <c r="S35" s="71">
        <v>160</v>
      </c>
      <c r="T35" s="71">
        <v>160</v>
      </c>
      <c r="U35" s="71">
        <v>160</v>
      </c>
      <c r="V35" s="71">
        <v>160</v>
      </c>
      <c r="W35" s="71">
        <v>160</v>
      </c>
      <c r="X35" s="71">
        <v>160</v>
      </c>
      <c r="Y35" s="68"/>
      <c r="Z35" s="71">
        <v>260</v>
      </c>
      <c r="AA35" s="71">
        <v>260</v>
      </c>
      <c r="AB35" s="71">
        <v>260</v>
      </c>
      <c r="AC35" s="71">
        <v>243</v>
      </c>
      <c r="AD35" s="71">
        <v>260</v>
      </c>
      <c r="AE35" s="71">
        <v>260</v>
      </c>
      <c r="AF35" s="71">
        <v>260</v>
      </c>
      <c r="AG35" s="71">
        <v>260</v>
      </c>
      <c r="AH35" s="71">
        <v>260</v>
      </c>
      <c r="AI35" s="71">
        <v>260</v>
      </c>
      <c r="AJ35" s="68"/>
      <c r="AK35" s="71">
        <v>350</v>
      </c>
      <c r="AL35" s="71">
        <v>350</v>
      </c>
      <c r="AM35" s="71">
        <v>350</v>
      </c>
      <c r="AN35" s="71">
        <v>350</v>
      </c>
      <c r="AO35" s="71">
        <v>350</v>
      </c>
      <c r="AP35" s="71">
        <v>350</v>
      </c>
      <c r="AQ35" s="71">
        <v>350</v>
      </c>
      <c r="AR35" s="71">
        <v>350</v>
      </c>
      <c r="AS35" s="71">
        <v>350</v>
      </c>
      <c r="AT35" s="71">
        <v>350</v>
      </c>
      <c r="AU35" s="68"/>
      <c r="AV35" s="71">
        <v>350</v>
      </c>
      <c r="AW35" s="71">
        <v>350</v>
      </c>
      <c r="AX35" s="71">
        <v>350</v>
      </c>
      <c r="AY35" s="71">
        <v>350</v>
      </c>
      <c r="AZ35" s="71">
        <v>350</v>
      </c>
      <c r="BA35" s="71">
        <v>350</v>
      </c>
      <c r="BB35" s="71">
        <v>350</v>
      </c>
      <c r="BC35" s="71">
        <v>350</v>
      </c>
      <c r="BD35" s="71">
        <v>350</v>
      </c>
      <c r="BE35" s="71">
        <v>350</v>
      </c>
      <c r="BF35" s="68"/>
      <c r="BG35" s="37" t="s">
        <v>36</v>
      </c>
    </row>
    <row r="36" spans="1:59" ht="18" customHeight="1">
      <c r="A36" s="76" t="s">
        <v>194</v>
      </c>
      <c r="B36" s="266" t="s">
        <v>92</v>
      </c>
      <c r="C36" s="266"/>
      <c r="D36" s="71">
        <v>7.8</v>
      </c>
      <c r="E36" s="71">
        <v>7.8</v>
      </c>
      <c r="F36" s="71">
        <v>7.8</v>
      </c>
      <c r="G36" s="71">
        <v>7.8</v>
      </c>
      <c r="H36" s="71">
        <v>7.8</v>
      </c>
      <c r="I36" s="71">
        <v>7.8</v>
      </c>
      <c r="J36" s="71">
        <v>7.8</v>
      </c>
      <c r="K36" s="71">
        <v>7.8</v>
      </c>
      <c r="L36" s="71">
        <v>7.8</v>
      </c>
      <c r="M36" s="71">
        <v>7.8</v>
      </c>
      <c r="N36" s="68"/>
      <c r="O36" s="71">
        <v>7.8</v>
      </c>
      <c r="P36" s="71">
        <v>7.8</v>
      </c>
      <c r="Q36" s="71">
        <v>7.8</v>
      </c>
      <c r="R36" s="71">
        <v>7.8</v>
      </c>
      <c r="S36" s="71">
        <v>7.8</v>
      </c>
      <c r="T36" s="71">
        <v>7.8</v>
      </c>
      <c r="U36" s="71">
        <v>7.8</v>
      </c>
      <c r="V36" s="71">
        <v>7.8</v>
      </c>
      <c r="W36" s="71">
        <v>7.8</v>
      </c>
      <c r="X36" s="71">
        <v>7.8</v>
      </c>
      <c r="Y36" s="68"/>
      <c r="Z36" s="71">
        <v>7.8</v>
      </c>
      <c r="AA36" s="71">
        <v>7.8</v>
      </c>
      <c r="AB36" s="71">
        <v>7.8</v>
      </c>
      <c r="AC36" s="71">
        <v>7.8</v>
      </c>
      <c r="AD36" s="71">
        <v>7.8</v>
      </c>
      <c r="AE36" s="71">
        <v>7.8</v>
      </c>
      <c r="AF36" s="71">
        <v>7.8</v>
      </c>
      <c r="AG36" s="71">
        <v>7.8</v>
      </c>
      <c r="AH36" s="71">
        <v>7.8</v>
      </c>
      <c r="AI36" s="71">
        <v>7.8</v>
      </c>
      <c r="AJ36" s="68"/>
      <c r="AK36" s="71">
        <v>7.8</v>
      </c>
      <c r="AL36" s="71">
        <v>7.8</v>
      </c>
      <c r="AM36" s="71">
        <v>7.8</v>
      </c>
      <c r="AN36" s="71">
        <v>7.8</v>
      </c>
      <c r="AO36" s="71">
        <v>7.8</v>
      </c>
      <c r="AP36" s="71">
        <v>7.8</v>
      </c>
      <c r="AQ36" s="71">
        <v>7.8</v>
      </c>
      <c r="AR36" s="71">
        <v>7.8</v>
      </c>
      <c r="AS36" s="71">
        <v>7.8</v>
      </c>
      <c r="AT36" s="71">
        <v>7.8</v>
      </c>
      <c r="AU36" s="68"/>
      <c r="AV36" s="71">
        <v>7.8</v>
      </c>
      <c r="AW36" s="71">
        <v>7.8</v>
      </c>
      <c r="AX36" s="71">
        <v>7.8</v>
      </c>
      <c r="AY36" s="71">
        <v>7.8</v>
      </c>
      <c r="AZ36" s="71">
        <v>7.8</v>
      </c>
      <c r="BA36" s="71">
        <v>7.8</v>
      </c>
      <c r="BB36" s="71">
        <v>7.8</v>
      </c>
      <c r="BC36" s="71">
        <v>7.8</v>
      </c>
      <c r="BD36" s="71">
        <v>7.8</v>
      </c>
      <c r="BE36" s="71">
        <v>7.8</v>
      </c>
      <c r="BF36" s="68"/>
      <c r="BG36" s="37" t="s">
        <v>201</v>
      </c>
    </row>
    <row r="37" spans="1:59" ht="18" customHeight="1">
      <c r="A37" s="76" t="s">
        <v>229</v>
      </c>
      <c r="B37" s="266" t="s">
        <v>196</v>
      </c>
      <c r="C37" s="266"/>
      <c r="D37" s="71">
        <v>0.93799999999999994</v>
      </c>
      <c r="E37" s="71">
        <v>0.93799999999999994</v>
      </c>
      <c r="F37" s="71">
        <v>1.07</v>
      </c>
      <c r="G37" s="71">
        <v>1.07</v>
      </c>
      <c r="H37" s="71">
        <v>1.25</v>
      </c>
      <c r="I37" s="71">
        <v>1.25</v>
      </c>
      <c r="J37" s="71">
        <v>1.5</v>
      </c>
      <c r="K37" s="71">
        <v>1.875</v>
      </c>
      <c r="L37" s="71">
        <v>1.875</v>
      </c>
      <c r="M37" s="71">
        <v>2.5</v>
      </c>
      <c r="N37" s="68"/>
      <c r="O37" s="71">
        <v>0.93799999999999994</v>
      </c>
      <c r="P37" s="71">
        <v>0.93799999999999994</v>
      </c>
      <c r="Q37" s="71">
        <v>1.07</v>
      </c>
      <c r="R37" s="71">
        <v>1.07</v>
      </c>
      <c r="S37" s="71">
        <v>1.25</v>
      </c>
      <c r="T37" s="71">
        <v>1.25</v>
      </c>
      <c r="U37" s="71">
        <v>1.5</v>
      </c>
      <c r="V37" s="71">
        <v>1.875</v>
      </c>
      <c r="W37" s="71">
        <v>1.875</v>
      </c>
      <c r="X37" s="71">
        <v>2.5</v>
      </c>
      <c r="Y37" s="68"/>
      <c r="Z37" s="71">
        <v>0.93799999999999994</v>
      </c>
      <c r="AA37" s="71">
        <v>0.93799999999999994</v>
      </c>
      <c r="AB37" s="71">
        <v>1.07</v>
      </c>
      <c r="AC37" s="71">
        <v>1.07</v>
      </c>
      <c r="AD37" s="71">
        <v>1.25</v>
      </c>
      <c r="AE37" s="71">
        <v>1.25</v>
      </c>
      <c r="AF37" s="71">
        <v>1.5</v>
      </c>
      <c r="AG37" s="71">
        <v>1.875</v>
      </c>
      <c r="AH37" s="71">
        <v>1.875</v>
      </c>
      <c r="AI37" s="71">
        <v>2.5</v>
      </c>
      <c r="AJ37" s="68"/>
      <c r="AK37" s="71">
        <v>0.93799999999999994</v>
      </c>
      <c r="AL37" s="71">
        <v>0.93799999999999994</v>
      </c>
      <c r="AM37" s="71">
        <v>1.07</v>
      </c>
      <c r="AN37" s="71">
        <v>1.07</v>
      </c>
      <c r="AO37" s="71">
        <v>1.25</v>
      </c>
      <c r="AP37" s="71">
        <v>1.25</v>
      </c>
      <c r="AQ37" s="71">
        <v>1.5</v>
      </c>
      <c r="AR37" s="71">
        <v>1.875</v>
      </c>
      <c r="AS37" s="71">
        <v>1.875</v>
      </c>
      <c r="AT37" s="71">
        <v>2.5</v>
      </c>
      <c r="AU37" s="68"/>
      <c r="AV37" s="71">
        <v>0.93799999999999994</v>
      </c>
      <c r="AW37" s="71">
        <v>0.93799999999999994</v>
      </c>
      <c r="AX37" s="71">
        <v>1.07</v>
      </c>
      <c r="AY37" s="71">
        <v>1.07</v>
      </c>
      <c r="AZ37" s="71">
        <v>1.25</v>
      </c>
      <c r="BA37" s="71">
        <v>1.25</v>
      </c>
      <c r="BB37" s="71">
        <v>1.5</v>
      </c>
      <c r="BC37" s="71">
        <v>1.875</v>
      </c>
      <c r="BD37" s="71">
        <v>1.875</v>
      </c>
      <c r="BE37" s="71">
        <v>2.5</v>
      </c>
      <c r="BF37" s="68"/>
      <c r="BG37" s="37" t="s">
        <v>36</v>
      </c>
    </row>
    <row r="38" spans="1:59" ht="18.75" customHeight="1">
      <c r="A38" s="76" t="s">
        <v>197</v>
      </c>
      <c r="B38" s="266" t="s">
        <v>198</v>
      </c>
      <c r="C38" s="266"/>
      <c r="D38" s="71">
        <v>3.3</v>
      </c>
      <c r="E38" s="71">
        <v>3.3</v>
      </c>
      <c r="F38" s="71">
        <v>3.3</v>
      </c>
      <c r="G38" s="71">
        <v>3.3</v>
      </c>
      <c r="H38" s="71">
        <v>3.3</v>
      </c>
      <c r="I38" s="71">
        <v>3.3</v>
      </c>
      <c r="J38" s="71">
        <v>3.3</v>
      </c>
      <c r="K38" s="71">
        <v>3.3</v>
      </c>
      <c r="L38" s="71">
        <v>3.3</v>
      </c>
      <c r="M38" s="71">
        <v>3.3</v>
      </c>
      <c r="N38" s="68"/>
      <c r="O38" s="71">
        <v>3.3</v>
      </c>
      <c r="P38" s="71">
        <v>3.3</v>
      </c>
      <c r="Q38" s="71">
        <v>3.3</v>
      </c>
      <c r="R38" s="71">
        <v>3.3</v>
      </c>
      <c r="S38" s="71">
        <v>3.3</v>
      </c>
      <c r="T38" s="71">
        <v>3.3</v>
      </c>
      <c r="U38" s="71">
        <v>3.3</v>
      </c>
      <c r="V38" s="71">
        <v>3.3</v>
      </c>
      <c r="W38" s="71">
        <v>3.3</v>
      </c>
      <c r="X38" s="71">
        <v>3.3</v>
      </c>
      <c r="Y38" s="68"/>
      <c r="Z38" s="71">
        <v>3.3</v>
      </c>
      <c r="AA38" s="71">
        <v>3.3</v>
      </c>
      <c r="AB38" s="71">
        <v>3.3</v>
      </c>
      <c r="AC38" s="71">
        <v>3.3</v>
      </c>
      <c r="AD38" s="71">
        <v>3.3</v>
      </c>
      <c r="AE38" s="71">
        <v>3.3</v>
      </c>
      <c r="AF38" s="71">
        <v>3.3</v>
      </c>
      <c r="AG38" s="71">
        <v>3.3</v>
      </c>
      <c r="AH38" s="71">
        <v>3.3</v>
      </c>
      <c r="AI38" s="71">
        <v>3.3</v>
      </c>
      <c r="AJ38" s="68"/>
      <c r="AK38" s="71">
        <v>3.3</v>
      </c>
      <c r="AL38" s="71">
        <v>3.3</v>
      </c>
      <c r="AM38" s="71">
        <v>3.3</v>
      </c>
      <c r="AN38" s="71">
        <v>3.3</v>
      </c>
      <c r="AO38" s="71">
        <v>3.3</v>
      </c>
      <c r="AP38" s="71">
        <v>3.3</v>
      </c>
      <c r="AQ38" s="71">
        <v>3.3</v>
      </c>
      <c r="AR38" s="71">
        <v>3.3</v>
      </c>
      <c r="AS38" s="71">
        <v>3.3</v>
      </c>
      <c r="AT38" s="71">
        <v>3.3</v>
      </c>
      <c r="AU38" s="68"/>
      <c r="AV38" s="71">
        <v>3.3</v>
      </c>
      <c r="AW38" s="71">
        <v>3.3</v>
      </c>
      <c r="AX38" s="71">
        <v>3.3</v>
      </c>
      <c r="AY38" s="71">
        <v>3.3</v>
      </c>
      <c r="AZ38" s="71">
        <v>3.3</v>
      </c>
      <c r="BA38" s="71">
        <v>3.3</v>
      </c>
      <c r="BB38" s="71">
        <v>3.3</v>
      </c>
      <c r="BC38" s="71">
        <v>3.3</v>
      </c>
      <c r="BD38" s="71">
        <v>3.3</v>
      </c>
      <c r="BE38" s="71">
        <v>3.3</v>
      </c>
      <c r="BF38" s="68"/>
      <c r="BG38" s="37" t="s">
        <v>36</v>
      </c>
    </row>
    <row r="39" spans="1:59" ht="18.75" customHeight="1">
      <c r="A39" s="56"/>
      <c r="B39" s="57"/>
      <c r="C39" s="56"/>
      <c r="D39" s="56"/>
      <c r="E39" s="54"/>
      <c r="F39" s="54"/>
      <c r="G39" s="54"/>
      <c r="H39" s="54"/>
      <c r="I39" s="54"/>
      <c r="J39" s="54"/>
      <c r="K39" s="54"/>
      <c r="L39" s="54"/>
      <c r="M39" s="54"/>
      <c r="N39" s="54"/>
      <c r="O39" s="54"/>
      <c r="P39" s="54"/>
      <c r="Q39" s="54"/>
      <c r="R39" s="54"/>
      <c r="S39" s="54"/>
      <c r="T39" s="54"/>
      <c r="U39" s="54"/>
      <c r="V39" s="54"/>
      <c r="W39" s="54"/>
      <c r="X39" s="54"/>
      <c r="Y39" s="54"/>
      <c r="Z39" s="54"/>
      <c r="AA39" s="54"/>
      <c r="AB39" s="54"/>
      <c r="AC39" s="54"/>
      <c r="AD39" s="54"/>
      <c r="AE39" s="54"/>
      <c r="AF39" s="54"/>
      <c r="AG39" s="54"/>
      <c r="AH39" s="54"/>
      <c r="AI39" s="54"/>
      <c r="AJ39" s="54"/>
      <c r="AK39" s="34"/>
    </row>
    <row r="40" spans="1:59" ht="18.75" customHeight="1">
      <c r="A40" s="56"/>
      <c r="B40" s="57"/>
      <c r="C40" s="56"/>
      <c r="D40" s="56"/>
      <c r="E40" s="54"/>
      <c r="F40" s="54"/>
      <c r="G40" s="54"/>
      <c r="H40" s="54"/>
      <c r="I40" s="54"/>
      <c r="J40" s="54"/>
      <c r="K40" s="54"/>
      <c r="L40" s="54"/>
      <c r="M40" s="54"/>
      <c r="N40" s="54"/>
      <c r="O40" s="54"/>
      <c r="P40" s="54"/>
      <c r="Q40" s="54"/>
      <c r="R40" s="54"/>
      <c r="S40" s="54"/>
      <c r="T40" s="54"/>
      <c r="U40" s="54"/>
      <c r="V40" s="54"/>
      <c r="W40" s="54"/>
      <c r="X40" s="54"/>
      <c r="Y40" s="54"/>
      <c r="Z40" s="54"/>
      <c r="AA40" s="54"/>
      <c r="AB40" s="54"/>
      <c r="AC40" s="54"/>
      <c r="AD40" s="54"/>
      <c r="AE40" s="54"/>
      <c r="AF40" s="54"/>
      <c r="AG40" s="54"/>
      <c r="AH40" s="54"/>
      <c r="AI40" s="54"/>
      <c r="AJ40" s="54"/>
      <c r="AK40" s="34"/>
    </row>
    <row r="41" spans="1:59" ht="24" customHeight="1">
      <c r="A41" s="274" t="s">
        <v>300</v>
      </c>
      <c r="B41" s="275"/>
      <c r="C41" s="275"/>
      <c r="D41" s="275"/>
      <c r="E41" s="275"/>
      <c r="F41" s="275"/>
      <c r="G41" s="275"/>
      <c r="H41" s="275"/>
      <c r="I41" s="275"/>
      <c r="J41" s="275"/>
      <c r="K41" s="275"/>
      <c r="L41" s="275"/>
      <c r="M41" s="275"/>
      <c r="N41" s="275"/>
      <c r="O41" s="275"/>
      <c r="P41" s="275"/>
      <c r="Q41" s="275"/>
      <c r="R41" s="275"/>
      <c r="S41" s="275"/>
      <c r="T41" s="275"/>
      <c r="U41" s="275"/>
      <c r="V41" s="275"/>
      <c r="W41" s="275"/>
      <c r="X41" s="275"/>
      <c r="Y41" s="275"/>
      <c r="Z41" s="275"/>
      <c r="AA41" s="275"/>
      <c r="AB41" s="275"/>
      <c r="AC41" s="275"/>
      <c r="AD41" s="275"/>
      <c r="AE41" s="275"/>
      <c r="AF41" s="275"/>
      <c r="AG41" s="275"/>
      <c r="AH41" s="275"/>
      <c r="AI41" s="275"/>
      <c r="AJ41" s="275"/>
      <c r="AK41" s="276"/>
    </row>
    <row r="42" spans="1:59" ht="24" hidden="1" customHeight="1">
      <c r="A42" s="56"/>
      <c r="B42" s="57"/>
      <c r="C42" s="56"/>
      <c r="D42" s="54" t="str">
        <f>IF('DDR3 Config'!$G$1=1,'DDR3 Spec'!D5,IF('DDR3 Config'!$G$1=2,'DDR3 Spec'!O5,IF('DDR3 Config'!$G$1=3,'DDR3 Spec'!Z5,IF('DDR3 Config'!$G$1=4,'DDR3 Spec'!AK5,'DDR3 Spec'!AV5))))</f>
        <v>-093E</v>
      </c>
      <c r="E42" s="54" t="str">
        <f>IF('DDR3 Config'!$G$1=1,'DDR3 Spec'!E5,IF('DDR3 Config'!$G$1=2,'DDR3 Spec'!P5,IF('DDR3 Config'!$G$1=3,'DDR3 Spec'!AA5,IF('DDR3 Config'!$G$1=4,'DDR3 Spec'!AL5,'DDR3 Spec'!AW5))))</f>
        <v>-093</v>
      </c>
      <c r="F42" s="54" t="str">
        <f>IF('DDR3 Config'!$G$1=1,'DDR3 Spec'!F5,IF('DDR3 Config'!$G$1=2,'DDR3 Spec'!Q5,IF('DDR3 Config'!$G$1=3,'DDR3 Spec'!AB5,IF('DDR3 Config'!$G$1=4,'DDR3 Spec'!AM5,'DDR3 Spec'!AX5))))</f>
        <v>-107E</v>
      </c>
      <c r="G42" s="54" t="str">
        <f>IF('DDR3 Config'!$G$1=1,'DDR3 Spec'!G5,IF('DDR3 Config'!$G$1=2,'DDR3 Spec'!R5,IF('DDR3 Config'!$G$1=3,'DDR3 Spec'!AC5,IF('DDR3 Config'!$G$1=4,'DDR3 Spec'!AN5,'DDR3 Spec'!AY5))))</f>
        <v>-107</v>
      </c>
      <c r="H42" s="54" t="str">
        <f>IF('DDR3 Config'!$G$1=1,'DDR3 Spec'!H5,IF('DDR3 Config'!$G$1=2,'DDR3 Spec'!S5,IF('DDR3 Config'!$G$1=3,'DDR3 Spec'!AD5,IF('DDR3 Config'!$G$1=4,'DDR3 Spec'!AO5,'DDR3 Spec'!AZ5))))</f>
        <v>-125E</v>
      </c>
      <c r="I42" s="54" t="str">
        <f>IF('DDR3 Config'!$G$1=1,'DDR3 Spec'!I5,IF('DDR3 Config'!$G$1=2,'DDR3 Spec'!T5,IF('DDR3 Config'!$G$1=3,'DDR3 Spec'!AE5,IF('DDR3 Config'!$G$1=4,'DDR3 Spec'!AP5,'DDR3 Spec'!BA5))))</f>
        <v>-125</v>
      </c>
      <c r="J42" s="54" t="str">
        <f>IF('DDR3 Config'!$G$1=1,'DDR3 Spec'!J5,IF('DDR3 Config'!$G$1=2,'DDR3 Spec'!U5,IF('DDR3 Config'!$G$1=3,'DDR3 Spec'!AF5,IF('DDR3 Config'!$G$1=4,'DDR3 Spec'!AQ5,'DDR3 Spec'!BB5))))</f>
        <v>-15E</v>
      </c>
      <c r="K42" s="54" t="str">
        <f>IF('DDR3 Config'!$G$1=1,'DDR3 Spec'!K5,IF('DDR3 Config'!$G$1=2,'DDR3 Spec'!V5,IF('DDR3 Config'!$G$1=3,'DDR3 Spec'!AG5,IF('DDR3 Config'!$G$1=4,'DDR3 Spec'!AR5,'DDR3 Spec'!BC5))))</f>
        <v>-187E</v>
      </c>
      <c r="L42" s="54" t="str">
        <f>IF('DDR3 Config'!$G$1=1,'DDR3 Spec'!L5,IF('DDR3 Config'!$G$1=2,'DDR3 Spec'!W5,IF('DDR3 Config'!$G$1=3,'DDR3 Spec'!AH5,IF('DDR3 Config'!$G$1=4,'DDR3 Spec'!AS5,'DDR3 Spec'!BD5))))</f>
        <v>-187</v>
      </c>
      <c r="M42" s="54" t="str">
        <f>IF('DDR3 Config'!$G$1=1,'DDR3 Spec'!M5,IF('DDR3 Config'!$G$1=2,'DDR3 Spec'!X5,IF('DDR3 Config'!$G$1=3,'DDR3 Spec'!AI5,IF('DDR3 Config'!$G$1=4,'DDR3 Spec'!AT5,'DDR3 Spec'!BE5))))</f>
        <v>-25</v>
      </c>
      <c r="N42" s="54"/>
      <c r="O42" s="54"/>
      <c r="P42" s="54"/>
      <c r="Q42" s="54"/>
      <c r="R42" s="54"/>
      <c r="S42" s="54"/>
      <c r="T42" s="54"/>
      <c r="U42" s="54"/>
      <c r="V42" s="54"/>
      <c r="W42" s="54" t="str">
        <f>'DDR3 Config'!C9</f>
        <v>-107</v>
      </c>
      <c r="X42" s="54"/>
      <c r="Y42" s="54"/>
      <c r="Z42" s="54"/>
      <c r="AA42" s="54"/>
      <c r="AB42" s="54"/>
      <c r="AC42" s="54"/>
      <c r="AD42" s="54"/>
      <c r="AE42" s="54"/>
      <c r="AF42" s="54"/>
      <c r="AG42" s="54"/>
      <c r="AH42" s="54"/>
      <c r="AI42" s="54"/>
      <c r="AJ42" s="54"/>
      <c r="AK42" s="34"/>
    </row>
    <row r="43" spans="1:59" ht="24" hidden="1" customHeight="1">
      <c r="A43" s="56"/>
      <c r="B43" s="57"/>
      <c r="C43" s="56"/>
      <c r="D43" s="54">
        <v>1</v>
      </c>
      <c r="E43" s="54">
        <v>2</v>
      </c>
      <c r="F43" s="54">
        <v>3</v>
      </c>
      <c r="G43" s="54">
        <v>4</v>
      </c>
      <c r="H43" s="54">
        <v>5</v>
      </c>
      <c r="I43" s="54">
        <v>6</v>
      </c>
      <c r="J43" s="54">
        <v>7</v>
      </c>
      <c r="K43" s="54">
        <v>8</v>
      </c>
      <c r="L43" s="54">
        <v>9</v>
      </c>
      <c r="M43" s="54">
        <v>10</v>
      </c>
      <c r="N43" s="54"/>
      <c r="O43" s="54"/>
      <c r="P43" s="54"/>
      <c r="Q43" s="54"/>
      <c r="R43" s="54"/>
      <c r="S43" s="54"/>
      <c r="T43" s="54"/>
      <c r="U43" s="54"/>
      <c r="V43" s="54"/>
      <c r="W43" s="54">
        <f>'DDR3 Config'!H1</f>
        <v>4</v>
      </c>
      <c r="X43" s="54"/>
      <c r="Y43" s="54"/>
      <c r="Z43" s="54"/>
      <c r="AA43" s="54"/>
      <c r="AB43" s="54"/>
      <c r="AC43" s="54"/>
      <c r="AD43" s="54"/>
      <c r="AE43" s="54"/>
      <c r="AF43" s="54"/>
      <c r="AG43" s="54"/>
      <c r="AH43" s="54"/>
      <c r="AI43" s="54"/>
      <c r="AJ43" s="54"/>
      <c r="AK43" s="34"/>
    </row>
    <row r="44" spans="1:59" ht="24" hidden="1" customHeight="1">
      <c r="A44" s="56"/>
      <c r="B44" s="57"/>
      <c r="C44" s="56"/>
      <c r="D44" s="54">
        <f>IF('DDR3 Config'!$G$1=1,'DDR3 Spec'!D6,IF('DDR3 Config'!$G$1=2,'DDR3 Spec'!O6,IF('DDR3 Config'!$G$1=3,'DDR3 Spec'!Z6,IF('DDR3 Config'!$G$1=4,'DDR3 Spec'!AK6,'DDR3 Spec'!AV6))))</f>
        <v>1.4350000000000001</v>
      </c>
      <c r="E44" s="54">
        <f>IF('DDR3 Config'!$G$1=1,'DDR3 Spec'!E6,IF('DDR3 Config'!$G$1=2,'DDR3 Spec'!P6,IF('DDR3 Config'!$G$1=3,'DDR3 Spec'!AA6,IF('DDR3 Config'!$G$1=4,'DDR3 Spec'!AL6,'DDR3 Spec'!AW6))))</f>
        <v>1.4350000000000001</v>
      </c>
      <c r="F44" s="54">
        <f>IF('DDR3 Config'!$G$1=1,'DDR3 Spec'!F6,IF('DDR3 Config'!$G$1=2,'DDR3 Spec'!Q6,IF('DDR3 Config'!$G$1=3,'DDR3 Spec'!AB6,IF('DDR3 Config'!$G$1=4,'DDR3 Spec'!AM6,'DDR3 Spec'!AX6))))</f>
        <v>1.4350000000000001</v>
      </c>
      <c r="G44" s="54">
        <f>IF('DDR3 Config'!$G$1=1,'DDR3 Spec'!G6,IF('DDR3 Config'!$G$1=2,'DDR3 Spec'!R6,IF('DDR3 Config'!$G$1=3,'DDR3 Spec'!AC6,IF('DDR3 Config'!$G$1=4,'DDR3 Spec'!AN6,'DDR3 Spec'!AY6))))</f>
        <v>1.45</v>
      </c>
      <c r="H44" s="54">
        <f>IF('DDR3 Config'!$G$1=1,'DDR3 Spec'!H6,IF('DDR3 Config'!$G$1=2,'DDR3 Spec'!S6,IF('DDR3 Config'!$G$1=3,'DDR3 Spec'!AD6,IF('DDR3 Config'!$G$1=4,'DDR3 Spec'!AO6,'DDR3 Spec'!AZ6))))</f>
        <v>1.4350000000000001</v>
      </c>
      <c r="I44" s="54">
        <f>IF('DDR3 Config'!$G$1=1,'DDR3 Spec'!I6,IF('DDR3 Config'!$G$1=2,'DDR3 Spec'!T6,IF('DDR3 Config'!$G$1=3,'DDR3 Spec'!AE6,IF('DDR3 Config'!$G$1=4,'DDR3 Spec'!AP6,'DDR3 Spec'!BA6))))</f>
        <v>1.4350000000000001</v>
      </c>
      <c r="J44" s="54">
        <f>IF('DDR3 Config'!$G$1=1,'DDR3 Spec'!J6,IF('DDR3 Config'!$G$1=2,'DDR3 Spec'!U6,IF('DDR3 Config'!$G$1=3,'DDR3 Spec'!AF6,IF('DDR3 Config'!$G$1=4,'DDR3 Spec'!AQ6,'DDR3 Spec'!BB6))))</f>
        <v>1.4350000000000001</v>
      </c>
      <c r="K44" s="54">
        <f>IF('DDR3 Config'!$G$1=1,'DDR3 Spec'!K6,IF('DDR3 Config'!$G$1=2,'DDR3 Spec'!V6,IF('DDR3 Config'!$G$1=3,'DDR3 Spec'!AG6,IF('DDR3 Config'!$G$1=4,'DDR3 Spec'!AR6,'DDR3 Spec'!BC6))))</f>
        <v>1.4350000000000001</v>
      </c>
      <c r="L44" s="54">
        <f>IF('DDR3 Config'!$G$1=1,'DDR3 Spec'!L6,IF('DDR3 Config'!$G$1=2,'DDR3 Spec'!W6,IF('DDR3 Config'!$G$1=3,'DDR3 Spec'!AH6,IF('DDR3 Config'!$G$1=4,'DDR3 Spec'!AS6,'DDR3 Spec'!BD6))))</f>
        <v>1.4350000000000001</v>
      </c>
      <c r="M44" s="54">
        <f>IF('DDR3 Config'!$G$1=1,'DDR3 Spec'!M6,IF('DDR3 Config'!$G$1=2,'DDR3 Spec'!X6,IF('DDR3 Config'!$G$1=3,'DDR3 Spec'!AI6,IF('DDR3 Config'!$G$1=4,'DDR3 Spec'!AT6,'DDR3 Spec'!BE6))))</f>
        <v>1.4350000000000001</v>
      </c>
      <c r="N44" s="54"/>
      <c r="O44" s="54"/>
      <c r="P44" s="54"/>
      <c r="Q44" s="54"/>
      <c r="R44" s="54"/>
      <c r="S44" s="54"/>
      <c r="T44" s="54"/>
      <c r="U44" s="54"/>
      <c r="V44" s="54"/>
      <c r="W44" s="54">
        <f>HLOOKUP($W$43,$D$43:$M$77,2)</f>
        <v>1.45</v>
      </c>
      <c r="X44" s="54"/>
      <c r="Y44" s="54"/>
      <c r="Z44" s="54"/>
      <c r="AA44" s="54"/>
      <c r="AB44" s="54"/>
      <c r="AC44" s="54"/>
      <c r="AD44" s="54"/>
      <c r="AE44" s="54"/>
      <c r="AF44" s="54"/>
      <c r="AG44" s="54"/>
      <c r="AH44" s="54"/>
      <c r="AI44" s="54"/>
      <c r="AJ44" s="54"/>
      <c r="AK44" s="34"/>
    </row>
    <row r="45" spans="1:59" ht="24" hidden="1" customHeight="1">
      <c r="A45" s="56"/>
      <c r="B45" s="57"/>
      <c r="C45" s="56"/>
      <c r="D45" s="54">
        <f>IF('DDR3 Config'!$G$1=1,'DDR3 Spec'!D7,IF('DDR3 Config'!$G$1=2,'DDR3 Spec'!O7,IF('DDR3 Config'!$G$1=3,'DDR3 Spec'!Z7,IF('DDR3 Config'!$G$1=4,'DDR3 Spec'!AK7,'DDR3 Spec'!AV7))))</f>
        <v>1.2829999999999999</v>
      </c>
      <c r="E45" s="54">
        <f>IF('DDR3 Config'!$G$1=1,'DDR3 Spec'!E7,IF('DDR3 Config'!$G$1=2,'DDR3 Spec'!P7,IF('DDR3 Config'!$G$1=3,'DDR3 Spec'!AA7,IF('DDR3 Config'!$G$1=4,'DDR3 Spec'!AL7,'DDR3 Spec'!AW7))))</f>
        <v>1.2829999999999999</v>
      </c>
      <c r="F45" s="54">
        <f>IF('DDR3 Config'!$G$1=1,'DDR3 Spec'!F7,IF('DDR3 Config'!$G$1=2,'DDR3 Spec'!Q7,IF('DDR3 Config'!$G$1=3,'DDR3 Spec'!AB7,IF('DDR3 Config'!$G$1=4,'DDR3 Spec'!AM7,'DDR3 Spec'!AX7))))</f>
        <v>1.2829999999999999</v>
      </c>
      <c r="G45" s="54">
        <f>IF('DDR3 Config'!$G$1=1,'DDR3 Spec'!G7,IF('DDR3 Config'!$G$1=2,'DDR3 Spec'!R7,IF('DDR3 Config'!$G$1=3,'DDR3 Spec'!AC7,IF('DDR3 Config'!$G$1=4,'DDR3 Spec'!AN7,'DDR3 Spec'!AY7))))</f>
        <v>1.2829999999999999</v>
      </c>
      <c r="H45" s="54">
        <f>IF('DDR3 Config'!$G$1=1,'DDR3 Spec'!H7,IF('DDR3 Config'!$G$1=2,'DDR3 Spec'!S7,IF('DDR3 Config'!$G$1=3,'DDR3 Spec'!AD7,IF('DDR3 Config'!$G$1=4,'DDR3 Spec'!AO7,'DDR3 Spec'!AZ7))))</f>
        <v>1.2829999999999999</v>
      </c>
      <c r="I45" s="54">
        <f>IF('DDR3 Config'!$G$1=1,'DDR3 Spec'!I7,IF('DDR3 Config'!$G$1=2,'DDR3 Spec'!T7,IF('DDR3 Config'!$G$1=3,'DDR3 Spec'!AE7,IF('DDR3 Config'!$G$1=4,'DDR3 Spec'!AP7,'DDR3 Spec'!BA7))))</f>
        <v>1.2829999999999999</v>
      </c>
      <c r="J45" s="54">
        <f>IF('DDR3 Config'!$G$1=1,'DDR3 Spec'!J7,IF('DDR3 Config'!$G$1=2,'DDR3 Spec'!U7,IF('DDR3 Config'!$G$1=3,'DDR3 Spec'!AF7,IF('DDR3 Config'!$G$1=4,'DDR3 Spec'!AQ7,'DDR3 Spec'!BB7))))</f>
        <v>1.2829999999999999</v>
      </c>
      <c r="K45" s="54">
        <f>IF('DDR3 Config'!$G$1=1,'DDR3 Spec'!K7,IF('DDR3 Config'!$G$1=2,'DDR3 Spec'!V7,IF('DDR3 Config'!$G$1=3,'DDR3 Spec'!AG7,IF('DDR3 Config'!$G$1=4,'DDR3 Spec'!AR7,'DDR3 Spec'!BC7))))</f>
        <v>1.2829999999999999</v>
      </c>
      <c r="L45" s="54">
        <f>IF('DDR3 Config'!$G$1=1,'DDR3 Spec'!L7,IF('DDR3 Config'!$G$1=2,'DDR3 Spec'!W7,IF('DDR3 Config'!$G$1=3,'DDR3 Spec'!AH7,IF('DDR3 Config'!$G$1=4,'DDR3 Spec'!AS7,'DDR3 Spec'!BD7))))</f>
        <v>1.2829999999999999</v>
      </c>
      <c r="M45" s="54">
        <f>IF('DDR3 Config'!$G$1=1,'DDR3 Spec'!M7,IF('DDR3 Config'!$G$1=2,'DDR3 Spec'!X7,IF('DDR3 Config'!$G$1=3,'DDR3 Spec'!AI7,IF('DDR3 Config'!$G$1=4,'DDR3 Spec'!AT7,'DDR3 Spec'!BE7))))</f>
        <v>1.2829999999999999</v>
      </c>
      <c r="N45" s="54"/>
      <c r="O45" s="54"/>
      <c r="P45" s="54"/>
      <c r="Q45" s="54" t="s">
        <v>250</v>
      </c>
      <c r="R45" s="54"/>
      <c r="S45" s="54"/>
      <c r="T45" s="54"/>
      <c r="U45" s="54"/>
      <c r="V45" s="54"/>
      <c r="W45" s="54">
        <f>HLOOKUP($W$43,$D$43:$M$77,3)</f>
        <v>1.2829999999999999</v>
      </c>
      <c r="X45" s="54"/>
      <c r="Y45" s="54"/>
      <c r="Z45" s="54"/>
      <c r="AA45" s="54"/>
      <c r="AB45" s="54"/>
      <c r="AC45" s="54"/>
      <c r="AD45" s="54"/>
      <c r="AE45" s="54"/>
      <c r="AF45" s="54"/>
      <c r="AG45" s="54"/>
      <c r="AH45" s="54"/>
      <c r="AI45" s="54"/>
      <c r="AJ45" s="54"/>
      <c r="AK45" s="34"/>
    </row>
    <row r="46" spans="1:59" ht="24" hidden="1" customHeight="1">
      <c r="A46" s="56"/>
      <c r="B46" s="57"/>
      <c r="C46" s="56"/>
      <c r="D46" s="54"/>
      <c r="E46" s="54"/>
      <c r="F46" s="54"/>
      <c r="G46" s="54"/>
      <c r="H46" s="54"/>
      <c r="I46" s="54"/>
      <c r="J46" s="54"/>
      <c r="K46" s="54"/>
      <c r="L46" s="54"/>
      <c r="M46" s="54"/>
      <c r="N46" s="54"/>
      <c r="O46" s="54"/>
      <c r="P46" s="54"/>
      <c r="Q46" s="54"/>
      <c r="R46" s="54"/>
      <c r="S46" s="54"/>
      <c r="T46" s="54"/>
      <c r="U46" s="54"/>
      <c r="V46" s="54"/>
      <c r="W46" s="54"/>
      <c r="X46" s="54"/>
      <c r="Y46" s="54"/>
      <c r="Z46" s="54"/>
      <c r="AA46" s="54"/>
      <c r="AB46" s="54"/>
      <c r="AC46" s="54"/>
      <c r="AD46" s="54"/>
      <c r="AE46" s="54"/>
      <c r="AF46" s="54"/>
      <c r="AG46" s="54"/>
      <c r="AH46" s="54"/>
      <c r="AI46" s="54"/>
      <c r="AJ46" s="54"/>
      <c r="AK46" s="34"/>
    </row>
    <row r="47" spans="1:59" ht="24" hidden="1" customHeight="1">
      <c r="A47" s="56"/>
      <c r="B47" s="57"/>
      <c r="C47" s="263" t="s">
        <v>181</v>
      </c>
      <c r="D47" s="54" t="str">
        <f>IF('DDR3 Config'!$G$1=1,'DDR3 Spec'!D9,IF('DDR3 Config'!$G$1=2,'DDR3 Spec'!O9,IF('DDR3 Config'!$G$1=3,'DDR3 Spec'!Z9,IF('DDR3 Config'!$G$1=4,'DDR3 Spec'!AK9,'DDR3 Spec'!AV9))))</f>
        <v xml:space="preserve"> na</v>
      </c>
      <c r="E47" s="54">
        <f>IF('DDR3 Config'!$G$1=1,'DDR3 Spec'!E9,IF('DDR3 Config'!$G$1=2,'DDR3 Spec'!P9,IF('DDR3 Config'!$G$1=3,'DDR3 Spec'!AA9,IF('DDR3 Config'!$G$1=4,'DDR3 Spec'!AL9,'DDR3 Spec'!AW9))))</f>
        <v>31</v>
      </c>
      <c r="F47" s="54" t="str">
        <f>IF('DDR3 Config'!$G$1=1,'DDR3 Spec'!F9,IF('DDR3 Config'!$G$1=2,'DDR3 Spec'!Q9,IF('DDR3 Config'!$G$1=3,'DDR3 Spec'!AB9,IF('DDR3 Config'!$G$1=4,'DDR3 Spec'!AM9,'DDR3 Spec'!AX9))))</f>
        <v xml:space="preserve"> na</v>
      </c>
      <c r="G47" s="54">
        <f>IF('DDR3 Config'!$G$1=1,'DDR3 Spec'!G9,IF('DDR3 Config'!$G$1=2,'DDR3 Spec'!R9,IF('DDR3 Config'!$G$1=3,'DDR3 Spec'!AC9,IF('DDR3 Config'!$G$1=4,'DDR3 Spec'!AN9,'DDR3 Spec'!AY9))))</f>
        <v>62</v>
      </c>
      <c r="H47" s="54" t="str">
        <f>IF('DDR3 Config'!$G$1=1,'DDR3 Spec'!H9,IF('DDR3 Config'!$G$1=2,'DDR3 Spec'!S9,IF('DDR3 Config'!$G$1=3,'DDR3 Spec'!AD9,IF('DDR3 Config'!$G$1=4,'DDR3 Spec'!AO9,'DDR3 Spec'!AZ9))))</f>
        <v xml:space="preserve"> na</v>
      </c>
      <c r="I47" s="54">
        <f>IF('DDR3 Config'!$G$1=1,'DDR3 Spec'!I9,IF('DDR3 Config'!$G$1=2,'DDR3 Spec'!T9,IF('DDR3 Config'!$G$1=3,'DDR3 Spec'!AE9,IF('DDR3 Config'!$G$1=4,'DDR3 Spec'!AP9,'DDR3 Spec'!BA9))))</f>
        <v>28</v>
      </c>
      <c r="J47" s="54" t="str">
        <f>IF('DDR3 Config'!$G$1=1,'DDR3 Spec'!J9,IF('DDR3 Config'!$G$1=2,'DDR3 Spec'!U9,IF('DDR3 Config'!$G$1=3,'DDR3 Spec'!AF9,IF('DDR3 Config'!$G$1=4,'DDR3 Spec'!AQ9,'DDR3 Spec'!BB9))))</f>
        <v xml:space="preserve"> na</v>
      </c>
      <c r="K47" s="54" t="str">
        <f>IF('DDR3 Config'!$G$1=1,'DDR3 Spec'!K9,IF('DDR3 Config'!$G$1=2,'DDR3 Spec'!V9,IF('DDR3 Config'!$G$1=3,'DDR3 Spec'!AG9,IF('DDR3 Config'!$G$1=4,'DDR3 Spec'!AR9,'DDR3 Spec'!BC9))))</f>
        <v xml:space="preserve"> na</v>
      </c>
      <c r="L47" s="54" t="str">
        <f>IF('DDR3 Config'!$G$1=1,'DDR3 Spec'!L9,IF('DDR3 Config'!$G$1=2,'DDR3 Spec'!W9,IF('DDR3 Config'!$G$1=3,'DDR3 Spec'!AH9,IF('DDR3 Config'!$G$1=4,'DDR3 Spec'!AS9,'DDR3 Spec'!BD9))))</f>
        <v xml:space="preserve"> na</v>
      </c>
      <c r="M47" s="54" t="str">
        <f>IF('DDR3 Config'!$G$1=1,'DDR3 Spec'!M9,IF('DDR3 Config'!$G$1=2,'DDR3 Spec'!X9,IF('DDR3 Config'!$G$1=3,'DDR3 Spec'!AI9,IF('DDR3 Config'!$G$1=4,'DDR3 Spec'!AT9,'DDR3 Spec'!BE9))))</f>
        <v xml:space="preserve"> na</v>
      </c>
      <c r="N47" s="54"/>
      <c r="O47" s="54"/>
      <c r="P47" s="54"/>
      <c r="Q47" s="54"/>
      <c r="R47" s="54"/>
      <c r="S47" s="54"/>
      <c r="T47" s="54"/>
      <c r="U47" s="54"/>
      <c r="V47" s="54"/>
      <c r="W47" s="54">
        <f>HLOOKUP($W$43,$D$43:$M$77,5)</f>
        <v>62</v>
      </c>
      <c r="X47" s="54"/>
      <c r="Y47" s="54"/>
      <c r="Z47" s="54"/>
      <c r="AA47" s="54"/>
      <c r="AB47" s="54"/>
      <c r="AC47" s="54"/>
      <c r="AD47" s="54"/>
      <c r="AE47" s="54"/>
      <c r="AF47" s="54"/>
      <c r="AG47" s="54"/>
      <c r="AH47" s="54"/>
      <c r="AI47" s="54"/>
      <c r="AJ47" s="54"/>
      <c r="AK47" s="34"/>
    </row>
    <row r="48" spans="1:59" ht="24" hidden="1" customHeight="1">
      <c r="A48" s="56"/>
      <c r="B48" s="57"/>
      <c r="C48" s="263"/>
      <c r="D48" s="54" t="str">
        <f>IF('DDR3 Config'!$G$1=1,'DDR3 Spec'!D10,IF('DDR3 Config'!$G$1=2,'DDR3 Spec'!O10,IF('DDR3 Config'!$G$1=3,'DDR3 Spec'!Z10,IF('DDR3 Config'!$G$1=4,'DDR3 Spec'!AK10,'DDR3 Spec'!AV10))))</f>
        <v xml:space="preserve"> na</v>
      </c>
      <c r="E48" s="54">
        <f>IF('DDR3 Config'!$G$1=1,'DDR3 Spec'!E10,IF('DDR3 Config'!$G$1=2,'DDR3 Spec'!P10,IF('DDR3 Config'!$G$1=3,'DDR3 Spec'!AA10,IF('DDR3 Config'!$G$1=4,'DDR3 Spec'!AL10,'DDR3 Spec'!AW10))))</f>
        <v>34</v>
      </c>
      <c r="F48" s="54" t="str">
        <f>IF('DDR3 Config'!$G$1=1,'DDR3 Spec'!F10,IF('DDR3 Config'!$G$1=2,'DDR3 Spec'!Q10,IF('DDR3 Config'!$G$1=3,'DDR3 Spec'!AB10,IF('DDR3 Config'!$G$1=4,'DDR3 Spec'!AM10,'DDR3 Spec'!AX10))))</f>
        <v xml:space="preserve"> na</v>
      </c>
      <c r="G48" s="54">
        <f>IF('DDR3 Config'!$G$1=1,'DDR3 Spec'!G10,IF('DDR3 Config'!$G$1=2,'DDR3 Spec'!R10,IF('DDR3 Config'!$G$1=3,'DDR3 Spec'!AC10,IF('DDR3 Config'!$G$1=4,'DDR3 Spec'!AN10,'DDR3 Spec'!AY10))))</f>
        <v>73</v>
      </c>
      <c r="H48" s="54" t="str">
        <f>IF('DDR3 Config'!$G$1=1,'DDR3 Spec'!H10,IF('DDR3 Config'!$G$1=2,'DDR3 Spec'!S10,IF('DDR3 Config'!$G$1=3,'DDR3 Spec'!AD10,IF('DDR3 Config'!$G$1=4,'DDR3 Spec'!AO10,'DDR3 Spec'!AZ10))))</f>
        <v xml:space="preserve"> na</v>
      </c>
      <c r="I48" s="54">
        <f>IF('DDR3 Config'!$G$1=1,'DDR3 Spec'!I10,IF('DDR3 Config'!$G$1=2,'DDR3 Spec'!T10,IF('DDR3 Config'!$G$1=3,'DDR3 Spec'!AE10,IF('DDR3 Config'!$G$1=4,'DDR3 Spec'!AP10,'DDR3 Spec'!BA10))))</f>
        <v>32</v>
      </c>
      <c r="J48" s="54" t="str">
        <f>IF('DDR3 Config'!$G$1=1,'DDR3 Spec'!J10,IF('DDR3 Config'!$G$1=2,'DDR3 Spec'!U10,IF('DDR3 Config'!$G$1=3,'DDR3 Spec'!AF10,IF('DDR3 Config'!$G$1=4,'DDR3 Spec'!AQ10,'DDR3 Spec'!BB10))))</f>
        <v xml:space="preserve"> na</v>
      </c>
      <c r="K48" s="54" t="str">
        <f>IF('DDR3 Config'!$G$1=1,'DDR3 Spec'!K10,IF('DDR3 Config'!$G$1=2,'DDR3 Spec'!V10,IF('DDR3 Config'!$G$1=3,'DDR3 Spec'!AG10,IF('DDR3 Config'!$G$1=4,'DDR3 Spec'!AR10,'DDR3 Spec'!BC10))))</f>
        <v xml:space="preserve"> na</v>
      </c>
      <c r="L48" s="54" t="str">
        <f>IF('DDR3 Config'!$G$1=1,'DDR3 Spec'!L10,IF('DDR3 Config'!$G$1=2,'DDR3 Spec'!W10,IF('DDR3 Config'!$G$1=3,'DDR3 Spec'!AH10,IF('DDR3 Config'!$G$1=4,'DDR3 Spec'!AS10,'DDR3 Spec'!BD10))))</f>
        <v xml:space="preserve"> na</v>
      </c>
      <c r="M48" s="54" t="str">
        <f>IF('DDR3 Config'!$G$1=1,'DDR3 Spec'!M10,IF('DDR3 Config'!$G$1=2,'DDR3 Spec'!X10,IF('DDR3 Config'!$G$1=3,'DDR3 Spec'!AI10,IF('DDR3 Config'!$G$1=4,'DDR3 Spec'!AT10,'DDR3 Spec'!BE10))))</f>
        <v xml:space="preserve"> na</v>
      </c>
      <c r="N48" s="54"/>
      <c r="O48" s="54"/>
      <c r="P48" s="54"/>
      <c r="Q48" s="54"/>
      <c r="R48" s="54"/>
      <c r="S48" s="54"/>
      <c r="T48" s="54"/>
      <c r="U48" s="54"/>
      <c r="V48" s="54"/>
      <c r="W48" s="54">
        <f>HLOOKUP($W$43,$D$43:$M$77,6)</f>
        <v>73</v>
      </c>
      <c r="X48" s="54"/>
      <c r="Y48" s="54"/>
      <c r="Z48" s="54"/>
      <c r="AA48" s="54"/>
      <c r="AB48" s="54"/>
      <c r="AC48" s="54"/>
      <c r="AD48" s="54"/>
      <c r="AE48" s="54"/>
      <c r="AF48" s="54"/>
      <c r="AG48" s="54"/>
      <c r="AH48" s="54"/>
      <c r="AI48" s="54"/>
      <c r="AJ48" s="54"/>
      <c r="AK48" s="34"/>
    </row>
    <row r="49" spans="1:37" ht="24" hidden="1" customHeight="1">
      <c r="A49" s="56"/>
      <c r="B49" s="57"/>
      <c r="C49" s="264" t="s">
        <v>215</v>
      </c>
      <c r="D49" s="54" t="str">
        <f>IF('DDR3 Config'!$G$1=1,'DDR3 Spec'!D11,IF('DDR3 Config'!$G$1=2,'DDR3 Spec'!O11,IF('DDR3 Config'!$G$1=3,'DDR3 Spec'!Z11,IF('DDR3 Config'!$G$1=4,'DDR3 Spec'!AK11,'DDR3 Spec'!AV11))))</f>
        <v xml:space="preserve"> na</v>
      </c>
      <c r="E49" s="54">
        <f>IF('DDR3 Config'!$G$1=1,'DDR3 Spec'!E11,IF('DDR3 Config'!$G$1=2,'DDR3 Spec'!P11,IF('DDR3 Config'!$G$1=3,'DDR3 Spec'!AA11,IF('DDR3 Config'!$G$1=4,'DDR3 Spec'!AL11,'DDR3 Spec'!AW11))))</f>
        <v>12</v>
      </c>
      <c r="F49" s="54" t="str">
        <f>IF('DDR3 Config'!$G$1=1,'DDR3 Spec'!F11,IF('DDR3 Config'!$G$1=2,'DDR3 Spec'!Q11,IF('DDR3 Config'!$G$1=3,'DDR3 Spec'!AB11,IF('DDR3 Config'!$G$1=4,'DDR3 Spec'!AM11,'DDR3 Spec'!AX11))))</f>
        <v xml:space="preserve"> na</v>
      </c>
      <c r="G49" s="54">
        <f>IF('DDR3 Config'!$G$1=1,'DDR3 Spec'!G11,IF('DDR3 Config'!$G$1=2,'DDR3 Spec'!R11,IF('DDR3 Config'!$G$1=3,'DDR3 Spec'!AC11,IF('DDR3 Config'!$G$1=4,'DDR3 Spec'!AN11,'DDR3 Spec'!AY11))))</f>
        <v>18</v>
      </c>
      <c r="H49" s="54" t="str">
        <f>IF('DDR3 Config'!$G$1=1,'DDR3 Spec'!H11,IF('DDR3 Config'!$G$1=2,'DDR3 Spec'!S11,IF('DDR3 Config'!$G$1=3,'DDR3 Spec'!AD11,IF('DDR3 Config'!$G$1=4,'DDR3 Spec'!AO11,'DDR3 Spec'!AZ11))))</f>
        <v xml:space="preserve"> na</v>
      </c>
      <c r="I49" s="54">
        <f>IF('DDR3 Config'!$G$1=1,'DDR3 Spec'!I11,IF('DDR3 Config'!$G$1=2,'DDR3 Spec'!T11,IF('DDR3 Config'!$G$1=3,'DDR3 Spec'!AE11,IF('DDR3 Config'!$G$1=4,'DDR3 Spec'!AP11,'DDR3 Spec'!BA11))))</f>
        <v>10</v>
      </c>
      <c r="J49" s="54" t="str">
        <f>IF('DDR3 Config'!$G$1=1,'DDR3 Spec'!J11,IF('DDR3 Config'!$G$1=2,'DDR3 Spec'!U11,IF('DDR3 Config'!$G$1=3,'DDR3 Spec'!AF11,IF('DDR3 Config'!$G$1=4,'DDR3 Spec'!AQ11,'DDR3 Spec'!BB11))))</f>
        <v xml:space="preserve"> na</v>
      </c>
      <c r="K49" s="54" t="str">
        <f>IF('DDR3 Config'!$G$1=1,'DDR3 Spec'!K11,IF('DDR3 Config'!$G$1=2,'DDR3 Spec'!V11,IF('DDR3 Config'!$G$1=3,'DDR3 Spec'!AG11,IF('DDR3 Config'!$G$1=4,'DDR3 Spec'!AR11,'DDR3 Spec'!BC11))))</f>
        <v xml:space="preserve"> na</v>
      </c>
      <c r="L49" s="54" t="str">
        <f>IF('DDR3 Config'!$G$1=1,'DDR3 Spec'!L11,IF('DDR3 Config'!$G$1=2,'DDR3 Spec'!W11,IF('DDR3 Config'!$G$1=3,'DDR3 Spec'!AH11,IF('DDR3 Config'!$G$1=4,'DDR3 Spec'!AS11,'DDR3 Spec'!BD11))))</f>
        <v xml:space="preserve"> na</v>
      </c>
      <c r="M49" s="54" t="str">
        <f>IF('DDR3 Config'!$G$1=1,'DDR3 Spec'!M11,IF('DDR3 Config'!$G$1=2,'DDR3 Spec'!X11,IF('DDR3 Config'!$G$1=3,'DDR3 Spec'!AI11,IF('DDR3 Config'!$G$1=4,'DDR3 Spec'!AT11,'DDR3 Spec'!BE11))))</f>
        <v xml:space="preserve"> na</v>
      </c>
      <c r="N49" s="54"/>
      <c r="O49" s="54"/>
      <c r="P49" s="54"/>
      <c r="Q49" s="54"/>
      <c r="R49" s="54"/>
      <c r="S49" s="54"/>
      <c r="T49" s="54"/>
      <c r="U49" s="54"/>
      <c r="V49" s="54"/>
      <c r="W49" s="54">
        <f>HLOOKUP($W$43,$D$43:$M$77,7)</f>
        <v>18</v>
      </c>
      <c r="X49" s="54"/>
      <c r="Y49" s="54"/>
      <c r="Z49" s="54"/>
      <c r="AA49" s="54"/>
      <c r="AB49" s="54"/>
      <c r="AC49" s="54"/>
      <c r="AD49" s="54"/>
      <c r="AE49" s="54"/>
      <c r="AF49" s="54"/>
      <c r="AG49" s="54"/>
      <c r="AH49" s="54"/>
      <c r="AI49" s="54"/>
      <c r="AJ49" s="54"/>
      <c r="AK49" s="34"/>
    </row>
    <row r="50" spans="1:37" ht="24" hidden="1" customHeight="1">
      <c r="A50" s="56"/>
      <c r="B50" s="57"/>
      <c r="C50" s="265"/>
      <c r="D50" s="54" t="str">
        <f>IF('DDR3 Config'!$G$1=1,'DDR3 Spec'!D12,IF('DDR3 Config'!$G$1=2,'DDR3 Spec'!O12,IF('DDR3 Config'!$G$1=3,'DDR3 Spec'!Z12,IF('DDR3 Config'!$G$1=4,'DDR3 Spec'!AK12,'DDR3 Spec'!AV12))))</f>
        <v xml:space="preserve"> na</v>
      </c>
      <c r="E50" s="54">
        <f>IF('DDR3 Config'!$G$1=1,'DDR3 Spec'!E12,IF('DDR3 Config'!$G$1=2,'DDR3 Spec'!P12,IF('DDR3 Config'!$G$1=3,'DDR3 Spec'!AA12,IF('DDR3 Config'!$G$1=4,'DDR3 Spec'!AL12,'DDR3 Spec'!AW12))))</f>
        <v>12</v>
      </c>
      <c r="F50" s="54" t="str">
        <f>IF('DDR3 Config'!$G$1=1,'DDR3 Spec'!F12,IF('DDR3 Config'!$G$1=2,'DDR3 Spec'!Q12,IF('DDR3 Config'!$G$1=3,'DDR3 Spec'!AB12,IF('DDR3 Config'!$G$1=4,'DDR3 Spec'!AM12,'DDR3 Spec'!AX12))))</f>
        <v xml:space="preserve"> na</v>
      </c>
      <c r="G50" s="54">
        <f>IF('DDR3 Config'!$G$1=1,'DDR3 Spec'!G12,IF('DDR3 Config'!$G$1=2,'DDR3 Spec'!R12,IF('DDR3 Config'!$G$1=3,'DDR3 Spec'!AC12,IF('DDR3 Config'!$G$1=4,'DDR3 Spec'!AN12,'DDR3 Spec'!AY12))))</f>
        <v>18</v>
      </c>
      <c r="H50" s="54" t="str">
        <f>IF('DDR3 Config'!$G$1=1,'DDR3 Spec'!H12,IF('DDR3 Config'!$G$1=2,'DDR3 Spec'!S12,IF('DDR3 Config'!$G$1=3,'DDR3 Spec'!AD12,IF('DDR3 Config'!$G$1=4,'DDR3 Spec'!AO12,'DDR3 Spec'!AZ12))))</f>
        <v xml:space="preserve"> na</v>
      </c>
      <c r="I50" s="54">
        <f>IF('DDR3 Config'!$G$1=1,'DDR3 Spec'!I12,IF('DDR3 Config'!$G$1=2,'DDR3 Spec'!T12,IF('DDR3 Config'!$G$1=3,'DDR3 Spec'!AE12,IF('DDR3 Config'!$G$1=4,'DDR3 Spec'!AP12,'DDR3 Spec'!BA12))))</f>
        <v>12</v>
      </c>
      <c r="J50" s="54" t="str">
        <f>IF('DDR3 Config'!$G$1=1,'DDR3 Spec'!J12,IF('DDR3 Config'!$G$1=2,'DDR3 Spec'!U12,IF('DDR3 Config'!$G$1=3,'DDR3 Spec'!AF12,IF('DDR3 Config'!$G$1=4,'DDR3 Spec'!AQ12,'DDR3 Spec'!BB12))))</f>
        <v xml:space="preserve"> na</v>
      </c>
      <c r="K50" s="54" t="str">
        <f>IF('DDR3 Config'!$G$1=1,'DDR3 Spec'!K12,IF('DDR3 Config'!$G$1=2,'DDR3 Spec'!V12,IF('DDR3 Config'!$G$1=3,'DDR3 Spec'!AG12,IF('DDR3 Config'!$G$1=4,'DDR3 Spec'!AR12,'DDR3 Spec'!BC12))))</f>
        <v xml:space="preserve"> na</v>
      </c>
      <c r="L50" s="54" t="str">
        <f>IF('DDR3 Config'!$G$1=1,'DDR3 Spec'!L12,IF('DDR3 Config'!$G$1=2,'DDR3 Spec'!W12,IF('DDR3 Config'!$G$1=3,'DDR3 Spec'!AH12,IF('DDR3 Config'!$G$1=4,'DDR3 Spec'!AS12,'DDR3 Spec'!BD12))))</f>
        <v xml:space="preserve"> na</v>
      </c>
      <c r="M50" s="54" t="str">
        <f>IF('DDR3 Config'!$G$1=1,'DDR3 Spec'!M12,IF('DDR3 Config'!$G$1=2,'DDR3 Spec'!X12,IF('DDR3 Config'!$G$1=3,'DDR3 Spec'!AI12,IF('DDR3 Config'!$G$1=4,'DDR3 Spec'!AT12,'DDR3 Spec'!BE12))))</f>
        <v xml:space="preserve"> na</v>
      </c>
      <c r="N50" s="54"/>
      <c r="O50" s="54"/>
      <c r="P50" s="54"/>
      <c r="Q50" s="54"/>
      <c r="R50" s="54"/>
      <c r="S50" s="54"/>
      <c r="T50" s="54"/>
      <c r="U50" s="54"/>
      <c r="V50" s="54"/>
      <c r="W50" s="54">
        <f>HLOOKUP($W$43,$D$43:$M$77,8)</f>
        <v>18</v>
      </c>
      <c r="X50" s="54"/>
      <c r="Y50" s="54"/>
      <c r="Z50" s="54"/>
      <c r="AA50" s="54"/>
      <c r="AB50" s="54"/>
      <c r="AC50" s="54"/>
      <c r="AD50" s="54"/>
      <c r="AE50" s="54"/>
      <c r="AF50" s="54"/>
      <c r="AG50" s="54"/>
      <c r="AH50" s="54"/>
      <c r="AI50" s="54"/>
      <c r="AJ50" s="54"/>
      <c r="AK50" s="34"/>
    </row>
    <row r="51" spans="1:37" ht="24" hidden="1" customHeight="1">
      <c r="A51" s="56"/>
      <c r="B51" s="57"/>
      <c r="C51" s="270" t="s">
        <v>216</v>
      </c>
      <c r="D51" s="54" t="str">
        <f>IF('DDR3 Config'!$G$1=1,'DDR3 Spec'!D13,IF('DDR3 Config'!$G$1=2,'DDR3 Spec'!O13,IF('DDR3 Config'!$G$1=3,'DDR3 Spec'!Z13,IF('DDR3 Config'!$G$1=4,'DDR3 Spec'!AK13,'DDR3 Spec'!AV13))))</f>
        <v xml:space="preserve"> na</v>
      </c>
      <c r="E51" s="54">
        <f>IF('DDR3 Config'!$G$1=1,'DDR3 Spec'!E13,IF('DDR3 Config'!$G$1=2,'DDR3 Spec'!P13,IF('DDR3 Config'!$G$1=3,'DDR3 Spec'!AA13,IF('DDR3 Config'!$G$1=4,'DDR3 Spec'!AL13,'DDR3 Spec'!AW13))))</f>
        <v>13</v>
      </c>
      <c r="F51" s="54" t="str">
        <f>IF('DDR3 Config'!$G$1=1,'DDR3 Spec'!F13,IF('DDR3 Config'!$G$1=2,'DDR3 Spec'!Q13,IF('DDR3 Config'!$G$1=3,'DDR3 Spec'!AB13,IF('DDR3 Config'!$G$1=4,'DDR3 Spec'!AM13,'DDR3 Spec'!AX13))))</f>
        <v xml:space="preserve"> na</v>
      </c>
      <c r="G51" s="54">
        <f>IF('DDR3 Config'!$G$1=1,'DDR3 Spec'!G13,IF('DDR3 Config'!$G$1=2,'DDR3 Spec'!R13,IF('DDR3 Config'!$G$1=3,'DDR3 Spec'!AC13,IF('DDR3 Config'!$G$1=4,'DDR3 Spec'!AN13,'DDR3 Spec'!AY13))))</f>
        <v>37</v>
      </c>
      <c r="H51" s="54" t="str">
        <f>IF('DDR3 Config'!$G$1=1,'DDR3 Spec'!H13,IF('DDR3 Config'!$G$1=2,'DDR3 Spec'!S13,IF('DDR3 Config'!$G$1=3,'DDR3 Spec'!AD13,IF('DDR3 Config'!$G$1=4,'DDR3 Spec'!AO13,'DDR3 Spec'!AZ13))))</f>
        <v xml:space="preserve"> na</v>
      </c>
      <c r="I51" s="54">
        <f>IF('DDR3 Config'!$G$1=1,'DDR3 Spec'!I13,IF('DDR3 Config'!$G$1=2,'DDR3 Spec'!T13,IF('DDR3 Config'!$G$1=3,'DDR3 Spec'!AE13,IF('DDR3 Config'!$G$1=4,'DDR3 Spec'!AP13,'DDR3 Spec'!BA13))))</f>
        <v>11</v>
      </c>
      <c r="J51" s="54" t="str">
        <f>IF('DDR3 Config'!$G$1=1,'DDR3 Spec'!J13,IF('DDR3 Config'!$G$1=2,'DDR3 Spec'!U13,IF('DDR3 Config'!$G$1=3,'DDR3 Spec'!AF13,IF('DDR3 Config'!$G$1=4,'DDR3 Spec'!AQ13,'DDR3 Spec'!BB13))))</f>
        <v xml:space="preserve"> na</v>
      </c>
      <c r="K51" s="54" t="str">
        <f>IF('DDR3 Config'!$G$1=1,'DDR3 Spec'!K13,IF('DDR3 Config'!$G$1=2,'DDR3 Spec'!V13,IF('DDR3 Config'!$G$1=3,'DDR3 Spec'!AG13,IF('DDR3 Config'!$G$1=4,'DDR3 Spec'!AR13,'DDR3 Spec'!BC13))))</f>
        <v xml:space="preserve"> na</v>
      </c>
      <c r="L51" s="54" t="str">
        <f>IF('DDR3 Config'!$G$1=1,'DDR3 Spec'!L13,IF('DDR3 Config'!$G$1=2,'DDR3 Spec'!W13,IF('DDR3 Config'!$G$1=3,'DDR3 Spec'!AH13,IF('DDR3 Config'!$G$1=4,'DDR3 Spec'!AS13,'DDR3 Spec'!BD13))))</f>
        <v xml:space="preserve"> na</v>
      </c>
      <c r="M51" s="54" t="str">
        <f>IF('DDR3 Config'!$G$1=1,'DDR3 Spec'!M13,IF('DDR3 Config'!$G$1=2,'DDR3 Spec'!X13,IF('DDR3 Config'!$G$1=3,'DDR3 Spec'!AI13,IF('DDR3 Config'!$G$1=4,'DDR3 Spec'!AT13,'DDR3 Spec'!BE13))))</f>
        <v xml:space="preserve"> na</v>
      </c>
      <c r="N51" s="54"/>
      <c r="O51" s="54"/>
      <c r="P51" s="54"/>
      <c r="Q51" s="54"/>
      <c r="R51" s="54"/>
      <c r="S51" s="54"/>
      <c r="T51" s="54"/>
      <c r="U51" s="54"/>
      <c r="V51" s="54"/>
      <c r="W51" s="54">
        <f>HLOOKUP($W$43,$D$43:$M$77,9)</f>
        <v>37</v>
      </c>
      <c r="X51" s="54"/>
      <c r="Y51" s="54"/>
      <c r="Z51" s="54"/>
      <c r="AA51" s="54"/>
      <c r="AB51" s="54"/>
      <c r="AC51" s="54"/>
      <c r="AD51" s="54"/>
      <c r="AE51" s="54"/>
      <c r="AF51" s="54"/>
      <c r="AG51" s="54"/>
      <c r="AH51" s="54"/>
      <c r="AI51" s="54"/>
      <c r="AJ51" s="54"/>
      <c r="AK51" s="34"/>
    </row>
    <row r="52" spans="1:37" ht="24" hidden="1" customHeight="1">
      <c r="A52" s="56"/>
      <c r="B52" s="57"/>
      <c r="C52" s="271"/>
      <c r="D52" s="54" t="str">
        <f>IF('DDR3 Config'!$G$1=1,'DDR3 Spec'!D14,IF('DDR3 Config'!$G$1=2,'DDR3 Spec'!O14,IF('DDR3 Config'!$G$1=3,'DDR3 Spec'!Z14,IF('DDR3 Config'!$G$1=4,'DDR3 Spec'!AK14,'DDR3 Spec'!AV14))))</f>
        <v xml:space="preserve"> na</v>
      </c>
      <c r="E52" s="54">
        <f>IF('DDR3 Config'!$G$1=1,'DDR3 Spec'!E14,IF('DDR3 Config'!$G$1=2,'DDR3 Spec'!P14,IF('DDR3 Config'!$G$1=3,'DDR3 Spec'!AA14,IF('DDR3 Config'!$G$1=4,'DDR3 Spec'!AL14,'DDR3 Spec'!AW14))))</f>
        <v>14</v>
      </c>
      <c r="F52" s="54" t="str">
        <f>IF('DDR3 Config'!$G$1=1,'DDR3 Spec'!F14,IF('DDR3 Config'!$G$1=2,'DDR3 Spec'!Q14,IF('DDR3 Config'!$G$1=3,'DDR3 Spec'!AB14,IF('DDR3 Config'!$G$1=4,'DDR3 Spec'!AM14,'DDR3 Spec'!AX14))))</f>
        <v xml:space="preserve"> na</v>
      </c>
      <c r="G52" s="54">
        <f>IF('DDR3 Config'!$G$1=1,'DDR3 Spec'!G14,IF('DDR3 Config'!$G$1=2,'DDR3 Spec'!R14,IF('DDR3 Config'!$G$1=3,'DDR3 Spec'!AC14,IF('DDR3 Config'!$G$1=4,'DDR3 Spec'!AN14,'DDR3 Spec'!AY14))))</f>
        <v>37</v>
      </c>
      <c r="H52" s="54" t="str">
        <f>IF('DDR3 Config'!$G$1=1,'DDR3 Spec'!H14,IF('DDR3 Config'!$G$1=2,'DDR3 Spec'!S14,IF('DDR3 Config'!$G$1=3,'DDR3 Spec'!AD14,IF('DDR3 Config'!$G$1=4,'DDR3 Spec'!AO14,'DDR3 Spec'!AZ14))))</f>
        <v xml:space="preserve"> na</v>
      </c>
      <c r="I52" s="54">
        <f>IF('DDR3 Config'!$G$1=1,'DDR3 Spec'!I14,IF('DDR3 Config'!$G$1=2,'DDR3 Spec'!T14,IF('DDR3 Config'!$G$1=3,'DDR3 Spec'!AE14,IF('DDR3 Config'!$G$1=4,'DDR3 Spec'!AP14,'DDR3 Spec'!BA14))))</f>
        <v>12</v>
      </c>
      <c r="J52" s="54" t="str">
        <f>IF('DDR3 Config'!$G$1=1,'DDR3 Spec'!J14,IF('DDR3 Config'!$G$1=2,'DDR3 Spec'!U14,IF('DDR3 Config'!$G$1=3,'DDR3 Spec'!AF14,IF('DDR3 Config'!$G$1=4,'DDR3 Spec'!AQ14,'DDR3 Spec'!BB14))))</f>
        <v xml:space="preserve"> na</v>
      </c>
      <c r="K52" s="54" t="str">
        <f>IF('DDR3 Config'!$G$1=1,'DDR3 Spec'!K14,IF('DDR3 Config'!$G$1=2,'DDR3 Spec'!V14,IF('DDR3 Config'!$G$1=3,'DDR3 Spec'!AG14,IF('DDR3 Config'!$G$1=4,'DDR3 Spec'!AR14,'DDR3 Spec'!BC14))))</f>
        <v xml:space="preserve"> na</v>
      </c>
      <c r="L52" s="54" t="str">
        <f>IF('DDR3 Config'!$G$1=1,'DDR3 Spec'!L14,IF('DDR3 Config'!$G$1=2,'DDR3 Spec'!W14,IF('DDR3 Config'!$G$1=3,'DDR3 Spec'!AH14,IF('DDR3 Config'!$G$1=4,'DDR3 Spec'!AS14,'DDR3 Spec'!BD14))))</f>
        <v xml:space="preserve"> na</v>
      </c>
      <c r="M52" s="54" t="str">
        <f>IF('DDR3 Config'!$G$1=1,'DDR3 Spec'!M14,IF('DDR3 Config'!$G$1=2,'DDR3 Spec'!X14,IF('DDR3 Config'!$G$1=3,'DDR3 Spec'!AI14,IF('DDR3 Config'!$G$1=4,'DDR3 Spec'!AT14,'DDR3 Spec'!BE14))))</f>
        <v xml:space="preserve"> na</v>
      </c>
      <c r="N52" s="54"/>
      <c r="O52" s="54"/>
      <c r="P52" s="54"/>
      <c r="Q52" s="54"/>
      <c r="R52" s="54"/>
      <c r="S52" s="54"/>
      <c r="T52" s="54"/>
      <c r="U52" s="54"/>
      <c r="V52" s="54"/>
      <c r="W52" s="54">
        <f>HLOOKUP($W$43,$D$43:$M$77,10)</f>
        <v>37</v>
      </c>
      <c r="X52" s="54"/>
      <c r="Y52" s="54"/>
      <c r="Z52" s="54"/>
      <c r="AA52" s="54"/>
      <c r="AB52" s="54"/>
      <c r="AC52" s="54"/>
      <c r="AD52" s="54"/>
      <c r="AE52" s="54"/>
      <c r="AF52" s="54"/>
      <c r="AG52" s="54"/>
      <c r="AH52" s="54"/>
      <c r="AI52" s="54"/>
      <c r="AJ52" s="54"/>
      <c r="AK52" s="34"/>
    </row>
    <row r="53" spans="1:37" ht="24" hidden="1" customHeight="1">
      <c r="A53" s="56"/>
      <c r="B53" s="57"/>
      <c r="C53" s="270" t="s">
        <v>182</v>
      </c>
      <c r="D53" s="54" t="str">
        <f>IF('DDR3 Config'!$G$1=1,'DDR3 Spec'!D15,IF('DDR3 Config'!$G$1=2,'DDR3 Spec'!O15,IF('DDR3 Config'!$G$1=3,'DDR3 Spec'!Z15,IF('DDR3 Config'!$G$1=4,'DDR3 Spec'!AK15,'DDR3 Spec'!AV15))))</f>
        <v xml:space="preserve"> na</v>
      </c>
      <c r="E53" s="54">
        <f>IF('DDR3 Config'!$G$1=1,'DDR3 Spec'!E15,IF('DDR3 Config'!$G$1=2,'DDR3 Spec'!P15,IF('DDR3 Config'!$G$1=3,'DDR3 Spec'!AA15,IF('DDR3 Config'!$G$1=4,'DDR3 Spec'!AL15,'DDR3 Spec'!AW15))))</f>
        <v>22</v>
      </c>
      <c r="F53" s="54" t="str">
        <f>IF('DDR3 Config'!$G$1=1,'DDR3 Spec'!F15,IF('DDR3 Config'!$G$1=2,'DDR3 Spec'!Q15,IF('DDR3 Config'!$G$1=3,'DDR3 Spec'!AB15,IF('DDR3 Config'!$G$1=4,'DDR3 Spec'!AM15,'DDR3 Spec'!AX15))))</f>
        <v xml:space="preserve"> na</v>
      </c>
      <c r="G53" s="54">
        <f>IF('DDR3 Config'!$G$1=1,'DDR3 Spec'!G15,IF('DDR3 Config'!$G$1=2,'DDR3 Spec'!R15,IF('DDR3 Config'!$G$1=3,'DDR3 Spec'!AC15,IF('DDR3 Config'!$G$1=4,'DDR3 Spec'!AN15,'DDR3 Spec'!AY15))))</f>
        <v>35</v>
      </c>
      <c r="H53" s="54" t="str">
        <f>IF('DDR3 Config'!$G$1=1,'DDR3 Spec'!H15,IF('DDR3 Config'!$G$1=2,'DDR3 Spec'!S15,IF('DDR3 Config'!$G$1=3,'DDR3 Spec'!AD15,IF('DDR3 Config'!$G$1=4,'DDR3 Spec'!AO15,'DDR3 Spec'!AZ15))))</f>
        <v xml:space="preserve"> na</v>
      </c>
      <c r="I53" s="54">
        <f>IF('DDR3 Config'!$G$1=1,'DDR3 Spec'!I15,IF('DDR3 Config'!$G$1=2,'DDR3 Spec'!T15,IF('DDR3 Config'!$G$1=3,'DDR3 Spec'!AE15,IF('DDR3 Config'!$G$1=4,'DDR3 Spec'!AP15,'DDR3 Spec'!BA15))))</f>
        <v>16</v>
      </c>
      <c r="J53" s="54" t="str">
        <f>IF('DDR3 Config'!$G$1=1,'DDR3 Spec'!J15,IF('DDR3 Config'!$G$1=2,'DDR3 Spec'!U15,IF('DDR3 Config'!$G$1=3,'DDR3 Spec'!AF15,IF('DDR3 Config'!$G$1=4,'DDR3 Spec'!AQ15,'DDR3 Spec'!BB15))))</f>
        <v xml:space="preserve"> na</v>
      </c>
      <c r="K53" s="54" t="str">
        <f>IF('DDR3 Config'!$G$1=1,'DDR3 Spec'!K15,IF('DDR3 Config'!$G$1=2,'DDR3 Spec'!V15,IF('DDR3 Config'!$G$1=3,'DDR3 Spec'!AG15,IF('DDR3 Config'!$G$1=4,'DDR3 Spec'!AR15,'DDR3 Spec'!BC15))))</f>
        <v xml:space="preserve"> na</v>
      </c>
      <c r="L53" s="54" t="str">
        <f>IF('DDR3 Config'!$G$1=1,'DDR3 Spec'!L15,IF('DDR3 Config'!$G$1=2,'DDR3 Spec'!W15,IF('DDR3 Config'!$G$1=3,'DDR3 Spec'!AH15,IF('DDR3 Config'!$G$1=4,'DDR3 Spec'!AS15,'DDR3 Spec'!BD15))))</f>
        <v xml:space="preserve"> na</v>
      </c>
      <c r="M53" s="54" t="str">
        <f>IF('DDR3 Config'!$G$1=1,'DDR3 Spec'!M15,IF('DDR3 Config'!$G$1=2,'DDR3 Spec'!X15,IF('DDR3 Config'!$G$1=3,'DDR3 Spec'!AI15,IF('DDR3 Config'!$G$1=4,'DDR3 Spec'!AT15,'DDR3 Spec'!BE15))))</f>
        <v xml:space="preserve"> na</v>
      </c>
      <c r="N53" s="54"/>
      <c r="O53" s="54"/>
      <c r="P53" s="54"/>
      <c r="Q53" s="54"/>
      <c r="R53" s="54"/>
      <c r="S53" s="54"/>
      <c r="T53" s="54"/>
      <c r="U53" s="54"/>
      <c r="V53" s="54"/>
      <c r="W53" s="54">
        <f>HLOOKUP($W$43,$D$43:$M$77,11)</f>
        <v>35</v>
      </c>
      <c r="X53" s="54"/>
      <c r="Y53" s="54"/>
      <c r="Z53" s="54"/>
      <c r="AA53" s="54"/>
      <c r="AB53" s="54"/>
      <c r="AC53" s="54"/>
      <c r="AD53" s="54"/>
      <c r="AE53" s="54"/>
      <c r="AF53" s="54"/>
      <c r="AG53" s="54"/>
      <c r="AH53" s="54"/>
      <c r="AI53" s="54"/>
      <c r="AJ53" s="54"/>
      <c r="AK53" s="34"/>
    </row>
    <row r="54" spans="1:37" ht="24" hidden="1" customHeight="1">
      <c r="A54" s="56"/>
      <c r="B54" s="57"/>
      <c r="C54" s="271"/>
      <c r="D54" s="54" t="str">
        <f>IF('DDR3 Config'!$G$1=1,'DDR3 Spec'!D16,IF('DDR3 Config'!$G$1=2,'DDR3 Spec'!O16,IF('DDR3 Config'!$G$1=3,'DDR3 Spec'!Z16,IF('DDR3 Config'!$G$1=4,'DDR3 Spec'!AK16,'DDR3 Spec'!AV16))))</f>
        <v xml:space="preserve"> na</v>
      </c>
      <c r="E54" s="54">
        <f>IF('DDR3 Config'!$G$1=1,'DDR3 Spec'!E16,IF('DDR3 Config'!$G$1=2,'DDR3 Spec'!P16,IF('DDR3 Config'!$G$1=3,'DDR3 Spec'!AA16,IF('DDR3 Config'!$G$1=4,'DDR3 Spec'!AL16,'DDR3 Spec'!AW16))))</f>
        <v>22</v>
      </c>
      <c r="F54" s="54" t="str">
        <f>IF('DDR3 Config'!$G$1=1,'DDR3 Spec'!F16,IF('DDR3 Config'!$G$1=2,'DDR3 Spec'!Q16,IF('DDR3 Config'!$G$1=3,'DDR3 Spec'!AB16,IF('DDR3 Config'!$G$1=4,'DDR3 Spec'!AM16,'DDR3 Spec'!AX16))))</f>
        <v xml:space="preserve"> na</v>
      </c>
      <c r="G54" s="54">
        <f>IF('DDR3 Config'!$G$1=1,'DDR3 Spec'!G16,IF('DDR3 Config'!$G$1=2,'DDR3 Spec'!R16,IF('DDR3 Config'!$G$1=3,'DDR3 Spec'!AC16,IF('DDR3 Config'!$G$1=4,'DDR3 Spec'!AN16,'DDR3 Spec'!AY16))))</f>
        <v>35</v>
      </c>
      <c r="H54" s="54" t="str">
        <f>IF('DDR3 Config'!$G$1=1,'DDR3 Spec'!H16,IF('DDR3 Config'!$G$1=2,'DDR3 Spec'!S16,IF('DDR3 Config'!$G$1=3,'DDR3 Spec'!AD16,IF('DDR3 Config'!$G$1=4,'DDR3 Spec'!AO16,'DDR3 Spec'!AZ16))))</f>
        <v xml:space="preserve"> na</v>
      </c>
      <c r="I54" s="54">
        <f>IF('DDR3 Config'!$G$1=1,'DDR3 Spec'!I16,IF('DDR3 Config'!$G$1=2,'DDR3 Spec'!T16,IF('DDR3 Config'!$G$1=3,'DDR3 Spec'!AE16,IF('DDR3 Config'!$G$1=4,'DDR3 Spec'!AP16,'DDR3 Spec'!BA16))))</f>
        <v>17</v>
      </c>
      <c r="J54" s="54" t="str">
        <f>IF('DDR3 Config'!$G$1=1,'DDR3 Spec'!J16,IF('DDR3 Config'!$G$1=2,'DDR3 Spec'!U16,IF('DDR3 Config'!$G$1=3,'DDR3 Spec'!AF16,IF('DDR3 Config'!$G$1=4,'DDR3 Spec'!AQ16,'DDR3 Spec'!BB16))))</f>
        <v xml:space="preserve"> na</v>
      </c>
      <c r="K54" s="54" t="str">
        <f>IF('DDR3 Config'!$G$1=1,'DDR3 Spec'!K16,IF('DDR3 Config'!$G$1=2,'DDR3 Spec'!V16,IF('DDR3 Config'!$G$1=3,'DDR3 Spec'!AG16,IF('DDR3 Config'!$G$1=4,'DDR3 Spec'!AR16,'DDR3 Spec'!BC16))))</f>
        <v xml:space="preserve"> na</v>
      </c>
      <c r="L54" s="54" t="str">
        <f>IF('DDR3 Config'!$G$1=1,'DDR3 Spec'!L16,IF('DDR3 Config'!$G$1=2,'DDR3 Spec'!W16,IF('DDR3 Config'!$G$1=3,'DDR3 Spec'!AH16,IF('DDR3 Config'!$G$1=4,'DDR3 Spec'!AS16,'DDR3 Spec'!BD16))))</f>
        <v xml:space="preserve"> na</v>
      </c>
      <c r="M54" s="54" t="str">
        <f>IF('DDR3 Config'!$G$1=1,'DDR3 Spec'!M16,IF('DDR3 Config'!$G$1=2,'DDR3 Spec'!X16,IF('DDR3 Config'!$G$1=3,'DDR3 Spec'!AI16,IF('DDR3 Config'!$G$1=4,'DDR3 Spec'!AT16,'DDR3 Spec'!BE16))))</f>
        <v xml:space="preserve"> na</v>
      </c>
      <c r="N54" s="54"/>
      <c r="O54" s="54"/>
      <c r="P54" s="54"/>
      <c r="Q54" s="54"/>
      <c r="R54" s="54"/>
      <c r="S54" s="54"/>
      <c r="T54" s="54"/>
      <c r="U54" s="54"/>
      <c r="V54" s="54"/>
      <c r="W54" s="54">
        <f>HLOOKUP($W$43,$D$43:$M$77,12)</f>
        <v>35</v>
      </c>
      <c r="X54" s="54"/>
      <c r="Y54" s="54"/>
      <c r="Z54" s="54"/>
      <c r="AA54" s="54"/>
      <c r="AB54" s="54"/>
      <c r="AC54" s="54"/>
      <c r="AD54" s="54"/>
      <c r="AE54" s="54"/>
      <c r="AF54" s="54"/>
      <c r="AG54" s="54"/>
      <c r="AH54" s="54"/>
      <c r="AI54" s="54"/>
      <c r="AJ54" s="54"/>
      <c r="AK54" s="34"/>
    </row>
    <row r="55" spans="1:37" ht="24" hidden="1" customHeight="1">
      <c r="A55" s="56"/>
      <c r="B55" s="57"/>
      <c r="C55" s="263" t="s">
        <v>183</v>
      </c>
      <c r="D55" s="54" t="str">
        <f>IF('DDR3 Config'!$G$1=1,'DDR3 Spec'!D17,IF('DDR3 Config'!$G$1=2,'DDR3 Spec'!O17,IF('DDR3 Config'!$G$1=3,'DDR3 Spec'!Z17,IF('DDR3 Config'!$G$1=4,'DDR3 Spec'!AK17,'DDR3 Spec'!AV17))))</f>
        <v xml:space="preserve"> na</v>
      </c>
      <c r="E55" s="54">
        <f>IF('DDR3 Config'!$G$1=1,'DDR3 Spec'!E17,IF('DDR3 Config'!$G$1=2,'DDR3 Spec'!P17,IF('DDR3 Config'!$G$1=3,'DDR3 Spec'!AA17,IF('DDR3 Config'!$G$1=4,'DDR3 Spec'!AL17,'DDR3 Spec'!AW17))))</f>
        <v>17</v>
      </c>
      <c r="F55" s="54" t="str">
        <f>IF('DDR3 Config'!$G$1=1,'DDR3 Spec'!F17,IF('DDR3 Config'!$G$1=2,'DDR3 Spec'!Q17,IF('DDR3 Config'!$G$1=3,'DDR3 Spec'!AB17,IF('DDR3 Config'!$G$1=4,'DDR3 Spec'!AM17,'DDR3 Spec'!AX17))))</f>
        <v xml:space="preserve"> na</v>
      </c>
      <c r="G55" s="54">
        <f>IF('DDR3 Config'!$G$1=1,'DDR3 Spec'!G17,IF('DDR3 Config'!$G$1=2,'DDR3 Spec'!R17,IF('DDR3 Config'!$G$1=3,'DDR3 Spec'!AC17,IF('DDR3 Config'!$G$1=4,'DDR3 Spec'!AN17,'DDR3 Spec'!AY17))))</f>
        <v>41</v>
      </c>
      <c r="H55" s="54" t="str">
        <f>IF('DDR3 Config'!$G$1=1,'DDR3 Spec'!H17,IF('DDR3 Config'!$G$1=2,'DDR3 Spec'!S17,IF('DDR3 Config'!$G$1=3,'DDR3 Spec'!AD17,IF('DDR3 Config'!$G$1=4,'DDR3 Spec'!AO17,'DDR3 Spec'!AZ17))))</f>
        <v xml:space="preserve"> na</v>
      </c>
      <c r="I55" s="54">
        <f>IF('DDR3 Config'!$G$1=1,'DDR3 Spec'!I17,IF('DDR3 Config'!$G$1=2,'DDR3 Spec'!T17,IF('DDR3 Config'!$G$1=3,'DDR3 Spec'!AE17,IF('DDR3 Config'!$G$1=4,'DDR3 Spec'!AP17,'DDR3 Spec'!BA17))))</f>
        <v>15</v>
      </c>
      <c r="J55" s="54" t="str">
        <f>IF('DDR3 Config'!$G$1=1,'DDR3 Spec'!J17,IF('DDR3 Config'!$G$1=2,'DDR3 Spec'!U17,IF('DDR3 Config'!$G$1=3,'DDR3 Spec'!AF17,IF('DDR3 Config'!$G$1=4,'DDR3 Spec'!AQ17,'DDR3 Spec'!BB17))))</f>
        <v xml:space="preserve"> na</v>
      </c>
      <c r="K55" s="54" t="str">
        <f>IF('DDR3 Config'!$G$1=1,'DDR3 Spec'!K17,IF('DDR3 Config'!$G$1=2,'DDR3 Spec'!V17,IF('DDR3 Config'!$G$1=3,'DDR3 Spec'!AG17,IF('DDR3 Config'!$G$1=4,'DDR3 Spec'!AR17,'DDR3 Spec'!BC17))))</f>
        <v xml:space="preserve"> na</v>
      </c>
      <c r="L55" s="54" t="str">
        <f>IF('DDR3 Config'!$G$1=1,'DDR3 Spec'!L17,IF('DDR3 Config'!$G$1=2,'DDR3 Spec'!W17,IF('DDR3 Config'!$G$1=3,'DDR3 Spec'!AH17,IF('DDR3 Config'!$G$1=4,'DDR3 Spec'!AS17,'DDR3 Spec'!BD17))))</f>
        <v xml:space="preserve"> na</v>
      </c>
      <c r="M55" s="54" t="str">
        <f>IF('DDR3 Config'!$G$1=1,'DDR3 Spec'!M17,IF('DDR3 Config'!$G$1=2,'DDR3 Spec'!X17,IF('DDR3 Config'!$G$1=3,'DDR3 Spec'!AI17,IF('DDR3 Config'!$G$1=4,'DDR3 Spec'!AT17,'DDR3 Spec'!BE17))))</f>
        <v xml:space="preserve"> na</v>
      </c>
      <c r="N55" s="54"/>
      <c r="O55" s="54"/>
      <c r="P55" s="54"/>
      <c r="Q55" s="54"/>
      <c r="R55" s="54"/>
      <c r="S55" s="54"/>
      <c r="T55" s="54"/>
      <c r="U55" s="54"/>
      <c r="V55" s="54"/>
      <c r="W55" s="54">
        <f>HLOOKUP($W$43,$D$43:$M$77,13)</f>
        <v>41</v>
      </c>
      <c r="X55" s="54"/>
      <c r="Y55" s="54"/>
      <c r="Z55" s="54"/>
      <c r="AA55" s="54"/>
      <c r="AB55" s="54"/>
      <c r="AC55" s="54"/>
      <c r="AD55" s="54"/>
      <c r="AE55" s="54"/>
      <c r="AF55" s="54"/>
      <c r="AG55" s="54"/>
      <c r="AH55" s="54"/>
      <c r="AI55" s="54"/>
      <c r="AJ55" s="54"/>
      <c r="AK55" s="34"/>
    </row>
    <row r="56" spans="1:37" ht="24" hidden="1" customHeight="1">
      <c r="A56" s="56"/>
      <c r="B56" s="57"/>
      <c r="C56" s="263"/>
      <c r="D56" s="54" t="str">
        <f>IF('DDR3 Config'!$G$1=1,'DDR3 Spec'!D18,IF('DDR3 Config'!$G$1=2,'DDR3 Spec'!O18,IF('DDR3 Config'!$G$1=3,'DDR3 Spec'!Z18,IF('DDR3 Config'!$G$1=4,'DDR3 Spec'!AK18,'DDR3 Spec'!AV18))))</f>
        <v xml:space="preserve"> na</v>
      </c>
      <c r="E56" s="54">
        <f>IF('DDR3 Config'!$G$1=1,'DDR3 Spec'!E18,IF('DDR3 Config'!$G$1=2,'DDR3 Spec'!P18,IF('DDR3 Config'!$G$1=3,'DDR3 Spec'!AA18,IF('DDR3 Config'!$G$1=4,'DDR3 Spec'!AL18,'DDR3 Spec'!AW18))))</f>
        <v>19</v>
      </c>
      <c r="F56" s="54" t="str">
        <f>IF('DDR3 Config'!$G$1=1,'DDR3 Spec'!F18,IF('DDR3 Config'!$G$1=2,'DDR3 Spec'!Q18,IF('DDR3 Config'!$G$1=3,'DDR3 Spec'!AB18,IF('DDR3 Config'!$G$1=4,'DDR3 Spec'!AM18,'DDR3 Spec'!AX18))))</f>
        <v xml:space="preserve"> na</v>
      </c>
      <c r="G56" s="54">
        <f>IF('DDR3 Config'!$G$1=1,'DDR3 Spec'!G18,IF('DDR3 Config'!$G$1=2,'DDR3 Spec'!R18,IF('DDR3 Config'!$G$1=3,'DDR3 Spec'!AC18,IF('DDR3 Config'!$G$1=4,'DDR3 Spec'!AN18,'DDR3 Spec'!AY18))))</f>
        <v>41</v>
      </c>
      <c r="H56" s="54" t="str">
        <f>IF('DDR3 Config'!$G$1=1,'DDR3 Spec'!H18,IF('DDR3 Config'!$G$1=2,'DDR3 Spec'!S18,IF('DDR3 Config'!$G$1=3,'DDR3 Spec'!AD18,IF('DDR3 Config'!$G$1=4,'DDR3 Spec'!AO18,'DDR3 Spec'!AZ18))))</f>
        <v xml:space="preserve"> na</v>
      </c>
      <c r="I56" s="54">
        <f>IF('DDR3 Config'!$G$1=1,'DDR3 Spec'!I18,IF('DDR3 Config'!$G$1=2,'DDR3 Spec'!T18,IF('DDR3 Config'!$G$1=3,'DDR3 Spec'!AE18,IF('DDR3 Config'!$G$1=4,'DDR3 Spec'!AP18,'DDR3 Spec'!BA18))))</f>
        <v>17</v>
      </c>
      <c r="J56" s="54" t="str">
        <f>IF('DDR3 Config'!$G$1=1,'DDR3 Spec'!J18,IF('DDR3 Config'!$G$1=2,'DDR3 Spec'!U18,IF('DDR3 Config'!$G$1=3,'DDR3 Spec'!AF18,IF('DDR3 Config'!$G$1=4,'DDR3 Spec'!AQ18,'DDR3 Spec'!BB18))))</f>
        <v xml:space="preserve"> na</v>
      </c>
      <c r="K56" s="54" t="str">
        <f>IF('DDR3 Config'!$G$1=1,'DDR3 Spec'!K18,IF('DDR3 Config'!$G$1=2,'DDR3 Spec'!V18,IF('DDR3 Config'!$G$1=3,'DDR3 Spec'!AG18,IF('DDR3 Config'!$G$1=4,'DDR3 Spec'!AR18,'DDR3 Spec'!BC18))))</f>
        <v xml:space="preserve"> na</v>
      </c>
      <c r="L56" s="54" t="str">
        <f>IF('DDR3 Config'!$G$1=1,'DDR3 Spec'!L18,IF('DDR3 Config'!$G$1=2,'DDR3 Spec'!W18,IF('DDR3 Config'!$G$1=3,'DDR3 Spec'!AH18,IF('DDR3 Config'!$G$1=4,'DDR3 Spec'!AS18,'DDR3 Spec'!BD18))))</f>
        <v xml:space="preserve"> na</v>
      </c>
      <c r="M56" s="54" t="str">
        <f>IF('DDR3 Config'!$G$1=1,'DDR3 Spec'!M18,IF('DDR3 Config'!$G$1=2,'DDR3 Spec'!X18,IF('DDR3 Config'!$G$1=3,'DDR3 Spec'!AI18,IF('DDR3 Config'!$G$1=4,'DDR3 Spec'!AT18,'DDR3 Spec'!BE18))))</f>
        <v xml:space="preserve"> na</v>
      </c>
      <c r="N56" s="54"/>
      <c r="O56" s="54"/>
      <c r="P56" s="54"/>
      <c r="Q56" s="54"/>
      <c r="R56" s="54"/>
      <c r="S56" s="54"/>
      <c r="T56" s="54"/>
      <c r="U56" s="54"/>
      <c r="V56" s="54"/>
      <c r="W56" s="54">
        <f>HLOOKUP($W$43,$D$43:$M$77,14)</f>
        <v>41</v>
      </c>
      <c r="X56" s="54"/>
      <c r="Y56" s="54"/>
      <c r="Z56" s="54"/>
      <c r="AA56" s="54"/>
      <c r="AB56" s="54"/>
      <c r="AC56" s="54"/>
      <c r="AD56" s="54"/>
      <c r="AE56" s="54"/>
      <c r="AF56" s="54"/>
      <c r="AG56" s="54"/>
      <c r="AH56" s="54"/>
      <c r="AI56" s="54"/>
      <c r="AJ56" s="54"/>
      <c r="AK56" s="34"/>
    </row>
    <row r="57" spans="1:37" ht="24" hidden="1" customHeight="1">
      <c r="A57" s="56"/>
      <c r="B57" s="57"/>
      <c r="C57" s="270" t="s">
        <v>184</v>
      </c>
      <c r="D57" s="54" t="str">
        <f>IF('DDR3 Config'!$G$1=1,'DDR3 Spec'!D19,IF('DDR3 Config'!$G$1=2,'DDR3 Spec'!O19,IF('DDR3 Config'!$G$1=3,'DDR3 Spec'!Z19,IF('DDR3 Config'!$G$1=4,'DDR3 Spec'!AK19,'DDR3 Spec'!AV19))))</f>
        <v xml:space="preserve"> na</v>
      </c>
      <c r="E57" s="54">
        <f>IF('DDR3 Config'!$G$1=1,'DDR3 Spec'!E19,IF('DDR3 Config'!$G$1=2,'DDR3 Spec'!P19,IF('DDR3 Config'!$G$1=3,'DDR3 Spec'!AA19,IF('DDR3 Config'!$G$1=4,'DDR3 Spec'!AL19,'DDR3 Spec'!AW19))))</f>
        <v>23</v>
      </c>
      <c r="F57" s="54" t="str">
        <f>IF('DDR3 Config'!$G$1=1,'DDR3 Spec'!F19,IF('DDR3 Config'!$G$1=2,'DDR3 Spec'!Q19,IF('DDR3 Config'!$G$1=3,'DDR3 Spec'!AB19,IF('DDR3 Config'!$G$1=4,'DDR3 Spec'!AM19,'DDR3 Spec'!AX19))))</f>
        <v xml:space="preserve"> na</v>
      </c>
      <c r="G57" s="54">
        <f>IF('DDR3 Config'!$G$1=1,'DDR3 Spec'!G19,IF('DDR3 Config'!$G$1=2,'DDR3 Spec'!R19,IF('DDR3 Config'!$G$1=3,'DDR3 Spec'!AC19,IF('DDR3 Config'!$G$1=4,'DDR3 Spec'!AN19,'DDR3 Spec'!AY19))))</f>
        <v>41</v>
      </c>
      <c r="H57" s="54" t="str">
        <f>IF('DDR3 Config'!$G$1=1,'DDR3 Spec'!H19,IF('DDR3 Config'!$G$1=2,'DDR3 Spec'!S19,IF('DDR3 Config'!$G$1=3,'DDR3 Spec'!AD19,IF('DDR3 Config'!$G$1=4,'DDR3 Spec'!AO19,'DDR3 Spec'!AZ19))))</f>
        <v xml:space="preserve"> na</v>
      </c>
      <c r="I57" s="54">
        <f>IF('DDR3 Config'!$G$1=1,'DDR3 Spec'!I19,IF('DDR3 Config'!$G$1=2,'DDR3 Spec'!T19,IF('DDR3 Config'!$G$1=3,'DDR3 Spec'!AE19,IF('DDR3 Config'!$G$1=4,'DDR3 Spec'!AP19,'DDR3 Spec'!BA19))))</f>
        <v>20</v>
      </c>
      <c r="J57" s="54" t="str">
        <f>IF('DDR3 Config'!$G$1=1,'DDR3 Spec'!J19,IF('DDR3 Config'!$G$1=2,'DDR3 Spec'!U19,IF('DDR3 Config'!$G$1=3,'DDR3 Spec'!AF19,IF('DDR3 Config'!$G$1=4,'DDR3 Spec'!AQ19,'DDR3 Spec'!BB19))))</f>
        <v xml:space="preserve"> na</v>
      </c>
      <c r="K57" s="54" t="str">
        <f>IF('DDR3 Config'!$G$1=1,'DDR3 Spec'!K19,IF('DDR3 Config'!$G$1=2,'DDR3 Spec'!V19,IF('DDR3 Config'!$G$1=3,'DDR3 Spec'!AG19,IF('DDR3 Config'!$G$1=4,'DDR3 Spec'!AR19,'DDR3 Spec'!BC19))))</f>
        <v xml:space="preserve"> na</v>
      </c>
      <c r="L57" s="54" t="str">
        <f>IF('DDR3 Config'!$G$1=1,'DDR3 Spec'!L19,IF('DDR3 Config'!$G$1=2,'DDR3 Spec'!W19,IF('DDR3 Config'!$G$1=3,'DDR3 Spec'!AH19,IF('DDR3 Config'!$G$1=4,'DDR3 Spec'!AS19,'DDR3 Spec'!BD19))))</f>
        <v xml:space="preserve"> na</v>
      </c>
      <c r="M57" s="54" t="str">
        <f>IF('DDR3 Config'!$G$1=1,'DDR3 Spec'!M19,IF('DDR3 Config'!$G$1=2,'DDR3 Spec'!X19,IF('DDR3 Config'!$G$1=3,'DDR3 Spec'!AI19,IF('DDR3 Config'!$G$1=4,'DDR3 Spec'!AT19,'DDR3 Spec'!BE19))))</f>
        <v xml:space="preserve"> na</v>
      </c>
      <c r="N57" s="54"/>
      <c r="O57" s="54"/>
      <c r="P57" s="54"/>
      <c r="Q57" s="54"/>
      <c r="R57" s="54"/>
      <c r="S57" s="54"/>
      <c r="T57" s="54"/>
      <c r="U57" s="54"/>
      <c r="V57" s="54"/>
      <c r="W57" s="54">
        <f>HLOOKUP($W$43,$D$43:$M$77,15)</f>
        <v>41</v>
      </c>
      <c r="X57" s="54"/>
      <c r="Y57" s="54"/>
      <c r="Z57" s="54"/>
      <c r="AA57" s="54"/>
      <c r="AB57" s="54"/>
      <c r="AC57" s="54"/>
      <c r="AD57" s="54"/>
      <c r="AE57" s="54"/>
      <c r="AF57" s="54"/>
      <c r="AG57" s="54"/>
      <c r="AH57" s="54"/>
      <c r="AI57" s="54"/>
      <c r="AJ57" s="54"/>
      <c r="AK57" s="34"/>
    </row>
    <row r="58" spans="1:37" ht="24" hidden="1" customHeight="1">
      <c r="A58" s="56"/>
      <c r="B58" s="57"/>
      <c r="C58" s="271"/>
      <c r="D58" s="54" t="str">
        <f>IF('DDR3 Config'!$G$1=1,'DDR3 Spec'!D20,IF('DDR3 Config'!$G$1=2,'DDR3 Spec'!O20,IF('DDR3 Config'!$G$1=3,'DDR3 Spec'!Z20,IF('DDR3 Config'!$G$1=4,'DDR3 Spec'!AK20,'DDR3 Spec'!AV20))))</f>
        <v xml:space="preserve"> na</v>
      </c>
      <c r="E58" s="54">
        <f>IF('DDR3 Config'!$G$1=1,'DDR3 Spec'!E20,IF('DDR3 Config'!$G$1=2,'DDR3 Spec'!P20,IF('DDR3 Config'!$G$1=3,'DDR3 Spec'!AA20,IF('DDR3 Config'!$G$1=4,'DDR3 Spec'!AL20,'DDR3 Spec'!AW20))))</f>
        <v>25</v>
      </c>
      <c r="F58" s="54" t="str">
        <f>IF('DDR3 Config'!$G$1=1,'DDR3 Spec'!F20,IF('DDR3 Config'!$G$1=2,'DDR3 Spec'!Q20,IF('DDR3 Config'!$G$1=3,'DDR3 Spec'!AB20,IF('DDR3 Config'!$G$1=4,'DDR3 Spec'!AM20,'DDR3 Spec'!AX20))))</f>
        <v xml:space="preserve"> na</v>
      </c>
      <c r="G58" s="54">
        <f>IF('DDR3 Config'!$G$1=1,'DDR3 Spec'!G20,IF('DDR3 Config'!$G$1=2,'DDR3 Spec'!R20,IF('DDR3 Config'!$G$1=3,'DDR3 Spec'!AC20,IF('DDR3 Config'!$G$1=4,'DDR3 Spec'!AN20,'DDR3 Spec'!AY20))))</f>
        <v>49</v>
      </c>
      <c r="H58" s="54" t="str">
        <f>IF('DDR3 Config'!$G$1=1,'DDR3 Spec'!H20,IF('DDR3 Config'!$G$1=2,'DDR3 Spec'!S20,IF('DDR3 Config'!$G$1=3,'DDR3 Spec'!AD20,IF('DDR3 Config'!$G$1=4,'DDR3 Spec'!AO20,'DDR3 Spec'!AZ20))))</f>
        <v xml:space="preserve"> na</v>
      </c>
      <c r="I58" s="54">
        <f>IF('DDR3 Config'!$G$1=1,'DDR3 Spec'!I20,IF('DDR3 Config'!$G$1=2,'DDR3 Spec'!T20,IF('DDR3 Config'!$G$1=3,'DDR3 Spec'!AE20,IF('DDR3 Config'!$G$1=4,'DDR3 Spec'!AP20,'DDR3 Spec'!BA20))))</f>
        <v>22</v>
      </c>
      <c r="J58" s="54" t="str">
        <f>IF('DDR3 Config'!$G$1=1,'DDR3 Spec'!J20,IF('DDR3 Config'!$G$1=2,'DDR3 Spec'!U20,IF('DDR3 Config'!$G$1=3,'DDR3 Spec'!AF20,IF('DDR3 Config'!$G$1=4,'DDR3 Spec'!AQ20,'DDR3 Spec'!BB20))))</f>
        <v xml:space="preserve"> na</v>
      </c>
      <c r="K58" s="54" t="str">
        <f>IF('DDR3 Config'!$G$1=1,'DDR3 Spec'!K20,IF('DDR3 Config'!$G$1=2,'DDR3 Spec'!V20,IF('DDR3 Config'!$G$1=3,'DDR3 Spec'!AG20,IF('DDR3 Config'!$G$1=4,'DDR3 Spec'!AR20,'DDR3 Spec'!BC20))))</f>
        <v xml:space="preserve"> na</v>
      </c>
      <c r="L58" s="54" t="str">
        <f>IF('DDR3 Config'!$G$1=1,'DDR3 Spec'!L20,IF('DDR3 Config'!$G$1=2,'DDR3 Spec'!W20,IF('DDR3 Config'!$G$1=3,'DDR3 Spec'!AH20,IF('DDR3 Config'!$G$1=4,'DDR3 Spec'!AS20,'DDR3 Spec'!BD20))))</f>
        <v xml:space="preserve"> na</v>
      </c>
      <c r="M58" s="54" t="str">
        <f>IF('DDR3 Config'!$G$1=1,'DDR3 Spec'!M20,IF('DDR3 Config'!$G$1=2,'DDR3 Spec'!X20,IF('DDR3 Config'!$G$1=3,'DDR3 Spec'!AI20,IF('DDR3 Config'!$G$1=4,'DDR3 Spec'!AT20,'DDR3 Spec'!BE20))))</f>
        <v xml:space="preserve"> na</v>
      </c>
      <c r="N58" s="54"/>
      <c r="O58" s="54"/>
      <c r="P58" s="54"/>
      <c r="Q58" s="54"/>
      <c r="R58" s="54"/>
      <c r="S58" s="54"/>
      <c r="T58" s="54"/>
      <c r="U58" s="54"/>
      <c r="V58" s="54"/>
      <c r="W58" s="54">
        <f>HLOOKUP($W$43,$D$43:$M$77,16)</f>
        <v>49</v>
      </c>
      <c r="X58" s="54"/>
      <c r="Y58" s="54"/>
      <c r="Z58" s="54"/>
      <c r="AA58" s="54"/>
      <c r="AB58" s="54"/>
      <c r="AC58" s="54"/>
      <c r="AD58" s="54"/>
      <c r="AE58" s="54"/>
      <c r="AF58" s="54"/>
      <c r="AG58" s="54"/>
      <c r="AH58" s="54"/>
      <c r="AI58" s="54"/>
      <c r="AJ58" s="54"/>
      <c r="AK58" s="34"/>
    </row>
    <row r="59" spans="1:37" ht="24" hidden="1" customHeight="1">
      <c r="A59" s="56"/>
      <c r="B59" s="57"/>
      <c r="C59" s="263" t="s">
        <v>185</v>
      </c>
      <c r="D59" s="54" t="str">
        <f>IF('DDR3 Config'!$G$1=1,'DDR3 Spec'!D21,IF('DDR3 Config'!$G$1=2,'DDR3 Spec'!O21,IF('DDR3 Config'!$G$1=3,'DDR3 Spec'!Z21,IF('DDR3 Config'!$G$1=4,'DDR3 Spec'!AK21,'DDR3 Spec'!AV21))))</f>
        <v xml:space="preserve"> na</v>
      </c>
      <c r="E59" s="54">
        <f>IF('DDR3 Config'!$G$1=1,'DDR3 Spec'!E21,IF('DDR3 Config'!$G$1=2,'DDR3 Spec'!P21,IF('DDR3 Config'!$G$1=3,'DDR3 Spec'!AA21,IF('DDR3 Config'!$G$1=4,'DDR3 Spec'!AL21,'DDR3 Spec'!AW21))))</f>
        <v>110</v>
      </c>
      <c r="F59" s="54" t="str">
        <f>IF('DDR3 Config'!$G$1=1,'DDR3 Spec'!F21,IF('DDR3 Config'!$G$1=2,'DDR3 Spec'!Q21,IF('DDR3 Config'!$G$1=3,'DDR3 Spec'!AB21,IF('DDR3 Config'!$G$1=4,'DDR3 Spec'!AM21,'DDR3 Spec'!AX21))))</f>
        <v xml:space="preserve"> na</v>
      </c>
      <c r="G59" s="54">
        <f>IF('DDR3 Config'!$G$1=1,'DDR3 Spec'!G21,IF('DDR3 Config'!$G$1=2,'DDR3 Spec'!R21,IF('DDR3 Config'!$G$1=3,'DDR3 Spec'!AC21,IF('DDR3 Config'!$G$1=4,'DDR3 Spec'!AN21,'DDR3 Spec'!AY21))))</f>
        <v>164</v>
      </c>
      <c r="H59" s="54" t="str">
        <f>IF('DDR3 Config'!$G$1=1,'DDR3 Spec'!H21,IF('DDR3 Config'!$G$1=2,'DDR3 Spec'!S21,IF('DDR3 Config'!$G$1=3,'DDR3 Spec'!AD21,IF('DDR3 Config'!$G$1=4,'DDR3 Spec'!AO21,'DDR3 Spec'!AZ21))))</f>
        <v xml:space="preserve"> na</v>
      </c>
      <c r="I59" s="54">
        <f>IF('DDR3 Config'!$G$1=1,'DDR3 Spec'!I21,IF('DDR3 Config'!$G$1=2,'DDR3 Spec'!T21,IF('DDR3 Config'!$G$1=3,'DDR3 Spec'!AE21,IF('DDR3 Config'!$G$1=4,'DDR3 Spec'!AP21,'DDR3 Spec'!BA21))))</f>
        <v>90</v>
      </c>
      <c r="J59" s="54" t="str">
        <f>IF('DDR3 Config'!$G$1=1,'DDR3 Spec'!J21,IF('DDR3 Config'!$G$1=2,'DDR3 Spec'!U21,IF('DDR3 Config'!$G$1=3,'DDR3 Spec'!AF21,IF('DDR3 Config'!$G$1=4,'DDR3 Spec'!AQ21,'DDR3 Spec'!BB21))))</f>
        <v xml:space="preserve"> na</v>
      </c>
      <c r="K59" s="54" t="str">
        <f>IF('DDR3 Config'!$G$1=1,'DDR3 Spec'!K21,IF('DDR3 Config'!$G$1=2,'DDR3 Spec'!V21,IF('DDR3 Config'!$G$1=3,'DDR3 Spec'!AG21,IF('DDR3 Config'!$G$1=4,'DDR3 Spec'!AR21,'DDR3 Spec'!BC21))))</f>
        <v xml:space="preserve"> na</v>
      </c>
      <c r="L59" s="54" t="str">
        <f>IF('DDR3 Config'!$G$1=1,'DDR3 Spec'!L21,IF('DDR3 Config'!$G$1=2,'DDR3 Spec'!W21,IF('DDR3 Config'!$G$1=3,'DDR3 Spec'!AH21,IF('DDR3 Config'!$G$1=4,'DDR3 Spec'!AS21,'DDR3 Spec'!BD21))))</f>
        <v xml:space="preserve"> na</v>
      </c>
      <c r="M59" s="54" t="str">
        <f>IF('DDR3 Config'!$G$1=1,'DDR3 Spec'!M21,IF('DDR3 Config'!$G$1=2,'DDR3 Spec'!X21,IF('DDR3 Config'!$G$1=3,'DDR3 Spec'!AI21,IF('DDR3 Config'!$G$1=4,'DDR3 Spec'!AT21,'DDR3 Spec'!BE21))))</f>
        <v xml:space="preserve"> na</v>
      </c>
      <c r="N59" s="54"/>
      <c r="O59" s="54"/>
      <c r="P59" s="54"/>
      <c r="Q59" s="54"/>
      <c r="R59" s="54"/>
      <c r="S59" s="54"/>
      <c r="T59" s="54"/>
      <c r="U59" s="54"/>
      <c r="V59" s="54"/>
      <c r="W59" s="54">
        <f>HLOOKUP($W$43,$D$43:$M$77,17)</f>
        <v>164</v>
      </c>
      <c r="X59" s="54"/>
      <c r="Y59" s="54"/>
      <c r="Z59" s="54"/>
      <c r="AA59" s="54"/>
      <c r="AB59" s="54"/>
      <c r="AC59" s="54"/>
      <c r="AD59" s="54"/>
      <c r="AE59" s="54"/>
      <c r="AF59" s="54"/>
      <c r="AG59" s="54"/>
      <c r="AH59" s="54"/>
      <c r="AI59" s="54"/>
      <c r="AJ59" s="54"/>
      <c r="AK59" s="34"/>
    </row>
    <row r="60" spans="1:37" ht="24" hidden="1" customHeight="1">
      <c r="A60" s="56"/>
      <c r="B60" s="57"/>
      <c r="C60" s="263"/>
      <c r="D60" s="54" t="str">
        <f>IF('DDR3 Config'!$G$1=1,'DDR3 Spec'!D22,IF('DDR3 Config'!$G$1=2,'DDR3 Spec'!O22,IF('DDR3 Config'!$G$1=3,'DDR3 Spec'!Z22,IF('DDR3 Config'!$G$1=4,'DDR3 Spec'!AK22,'DDR3 Spec'!AV22))))</f>
        <v xml:space="preserve"> na</v>
      </c>
      <c r="E60" s="54">
        <f>IF('DDR3 Config'!$G$1=1,'DDR3 Spec'!E22,IF('DDR3 Config'!$G$1=2,'DDR3 Spec'!P22,IF('DDR3 Config'!$G$1=3,'DDR3 Spec'!AA22,IF('DDR3 Config'!$G$1=4,'DDR3 Spec'!AL22,'DDR3 Spec'!AW22))))</f>
        <v>110</v>
      </c>
      <c r="F60" s="54" t="str">
        <f>IF('DDR3 Config'!$G$1=1,'DDR3 Spec'!F22,IF('DDR3 Config'!$G$1=2,'DDR3 Spec'!Q22,IF('DDR3 Config'!$G$1=3,'DDR3 Spec'!AB22,IF('DDR3 Config'!$G$1=4,'DDR3 Spec'!AM22,'DDR3 Spec'!AX22))))</f>
        <v xml:space="preserve"> na</v>
      </c>
      <c r="G60" s="54">
        <f>IF('DDR3 Config'!$G$1=1,'DDR3 Spec'!G22,IF('DDR3 Config'!$G$1=2,'DDR3 Spec'!R22,IF('DDR3 Config'!$G$1=3,'DDR3 Spec'!AC22,IF('DDR3 Config'!$G$1=4,'DDR3 Spec'!AN22,'DDR3 Spec'!AY22))))</f>
        <v>174</v>
      </c>
      <c r="H60" s="54" t="str">
        <f>IF('DDR3 Config'!$G$1=1,'DDR3 Spec'!H22,IF('DDR3 Config'!$G$1=2,'DDR3 Spec'!S22,IF('DDR3 Config'!$G$1=3,'DDR3 Spec'!AD22,IF('DDR3 Config'!$G$1=4,'DDR3 Spec'!AO22,'DDR3 Spec'!AZ22))))</f>
        <v xml:space="preserve"> na</v>
      </c>
      <c r="I60" s="54">
        <f>IF('DDR3 Config'!$G$1=1,'DDR3 Spec'!I22,IF('DDR3 Config'!$G$1=2,'DDR3 Spec'!T22,IF('DDR3 Config'!$G$1=3,'DDR3 Spec'!AE22,IF('DDR3 Config'!$G$1=4,'DDR3 Spec'!AP22,'DDR3 Spec'!BA22))))</f>
        <v>90</v>
      </c>
      <c r="J60" s="54" t="str">
        <f>IF('DDR3 Config'!$G$1=1,'DDR3 Spec'!J22,IF('DDR3 Config'!$G$1=2,'DDR3 Spec'!U22,IF('DDR3 Config'!$G$1=3,'DDR3 Spec'!AF22,IF('DDR3 Config'!$G$1=4,'DDR3 Spec'!AQ22,'DDR3 Spec'!BB22))))</f>
        <v xml:space="preserve"> na</v>
      </c>
      <c r="K60" s="54" t="str">
        <f>IF('DDR3 Config'!$G$1=1,'DDR3 Spec'!K22,IF('DDR3 Config'!$G$1=2,'DDR3 Spec'!V22,IF('DDR3 Config'!$G$1=3,'DDR3 Spec'!AG22,IF('DDR3 Config'!$G$1=4,'DDR3 Spec'!AR22,'DDR3 Spec'!BC22))))</f>
        <v xml:space="preserve"> na</v>
      </c>
      <c r="L60" s="54" t="str">
        <f>IF('DDR3 Config'!$G$1=1,'DDR3 Spec'!L22,IF('DDR3 Config'!$G$1=2,'DDR3 Spec'!W22,IF('DDR3 Config'!$G$1=3,'DDR3 Spec'!AH22,IF('DDR3 Config'!$G$1=4,'DDR3 Spec'!AS22,'DDR3 Spec'!BD22))))</f>
        <v xml:space="preserve"> na</v>
      </c>
      <c r="M60" s="54" t="str">
        <f>IF('DDR3 Config'!$G$1=1,'DDR3 Spec'!M22,IF('DDR3 Config'!$G$1=2,'DDR3 Spec'!X22,IF('DDR3 Config'!$G$1=3,'DDR3 Spec'!AI22,IF('DDR3 Config'!$G$1=4,'DDR3 Spec'!AT22,'DDR3 Spec'!BE22))))</f>
        <v xml:space="preserve"> na</v>
      </c>
      <c r="N60" s="54"/>
      <c r="O60" s="54"/>
      <c r="P60" s="54"/>
      <c r="Q60" s="54"/>
      <c r="R60" s="54"/>
      <c r="S60" s="54"/>
      <c r="T60" s="54"/>
      <c r="U60" s="54"/>
      <c r="V60" s="54"/>
      <c r="W60" s="54">
        <f>HLOOKUP($W$43,$D$43:$M$77,18)</f>
        <v>174</v>
      </c>
      <c r="X60" s="54"/>
      <c r="Y60" s="54"/>
      <c r="Z60" s="54"/>
      <c r="AA60" s="54"/>
      <c r="AB60" s="54"/>
      <c r="AC60" s="54"/>
      <c r="AD60" s="54"/>
      <c r="AE60" s="54"/>
      <c r="AF60" s="54"/>
      <c r="AG60" s="54"/>
      <c r="AH60" s="54"/>
      <c r="AI60" s="54"/>
      <c r="AJ60" s="54"/>
      <c r="AK60" s="34"/>
    </row>
    <row r="61" spans="1:37" ht="24" hidden="1" customHeight="1">
      <c r="A61" s="56"/>
      <c r="B61" s="57"/>
      <c r="C61" s="263"/>
      <c r="D61" s="54" t="str">
        <f>IF('DDR3 Config'!$G$1=1,'DDR3 Spec'!D23,IF('DDR3 Config'!$G$1=2,'DDR3 Spec'!O23,IF('DDR3 Config'!$G$1=3,'DDR3 Spec'!Z23,IF('DDR3 Config'!$G$1=4,'DDR3 Spec'!AK23,'DDR3 Spec'!AV23))))</f>
        <v xml:space="preserve"> na</v>
      </c>
      <c r="E61" s="54">
        <f>IF('DDR3 Config'!$G$1=1,'DDR3 Spec'!E23,IF('DDR3 Config'!$G$1=2,'DDR3 Spec'!P23,IF('DDR3 Config'!$G$1=3,'DDR3 Spec'!AA23,IF('DDR3 Config'!$G$1=4,'DDR3 Spec'!AL23,'DDR3 Spec'!AW23))))</f>
        <v>130</v>
      </c>
      <c r="F61" s="54" t="str">
        <f>IF('DDR3 Config'!$G$1=1,'DDR3 Spec'!F23,IF('DDR3 Config'!$G$1=2,'DDR3 Spec'!Q23,IF('DDR3 Config'!$G$1=3,'DDR3 Spec'!AB23,IF('DDR3 Config'!$G$1=4,'DDR3 Spec'!AM23,'DDR3 Spec'!AX23))))</f>
        <v xml:space="preserve"> na</v>
      </c>
      <c r="G61" s="54">
        <f>IF('DDR3 Config'!$G$1=1,'DDR3 Spec'!G23,IF('DDR3 Config'!$G$1=2,'DDR3 Spec'!R23,IF('DDR3 Config'!$G$1=3,'DDR3 Spec'!AC23,IF('DDR3 Config'!$G$1=4,'DDR3 Spec'!AN23,'DDR3 Spec'!AY23))))</f>
        <v>252</v>
      </c>
      <c r="H61" s="54" t="str">
        <f>IF('DDR3 Config'!$G$1=1,'DDR3 Spec'!H23,IF('DDR3 Config'!$G$1=2,'DDR3 Spec'!S23,IF('DDR3 Config'!$G$1=3,'DDR3 Spec'!AD23,IF('DDR3 Config'!$G$1=4,'DDR3 Spec'!AO23,'DDR3 Spec'!AZ23))))</f>
        <v xml:space="preserve"> na</v>
      </c>
      <c r="I61" s="54">
        <f>IF('DDR3 Config'!$G$1=1,'DDR3 Spec'!I23,IF('DDR3 Config'!$G$1=2,'DDR3 Spec'!T23,IF('DDR3 Config'!$G$1=3,'DDR3 Spec'!AE23,IF('DDR3 Config'!$G$1=4,'DDR3 Spec'!AP23,'DDR3 Spec'!BA23))))</f>
        <v>110</v>
      </c>
      <c r="J61" s="54" t="str">
        <f>IF('DDR3 Config'!$G$1=1,'DDR3 Spec'!J23,IF('DDR3 Config'!$G$1=2,'DDR3 Spec'!U23,IF('DDR3 Config'!$G$1=3,'DDR3 Spec'!AF23,IF('DDR3 Config'!$G$1=4,'DDR3 Spec'!AQ23,'DDR3 Spec'!BB23))))</f>
        <v xml:space="preserve"> na</v>
      </c>
      <c r="K61" s="54" t="str">
        <f>IF('DDR3 Config'!$G$1=1,'DDR3 Spec'!K23,IF('DDR3 Config'!$G$1=2,'DDR3 Spec'!V23,IF('DDR3 Config'!$G$1=3,'DDR3 Spec'!AG23,IF('DDR3 Config'!$G$1=4,'DDR3 Spec'!AR23,'DDR3 Spec'!BC23))))</f>
        <v xml:space="preserve"> na</v>
      </c>
      <c r="L61" s="54" t="str">
        <f>IF('DDR3 Config'!$G$1=1,'DDR3 Spec'!L23,IF('DDR3 Config'!$G$1=2,'DDR3 Spec'!W23,IF('DDR3 Config'!$G$1=3,'DDR3 Spec'!AH23,IF('DDR3 Config'!$G$1=4,'DDR3 Spec'!AS23,'DDR3 Spec'!BD23))))</f>
        <v xml:space="preserve"> na</v>
      </c>
      <c r="M61" s="54" t="str">
        <f>IF('DDR3 Config'!$G$1=1,'DDR3 Spec'!M23,IF('DDR3 Config'!$G$1=2,'DDR3 Spec'!X23,IF('DDR3 Config'!$G$1=3,'DDR3 Spec'!AI23,IF('DDR3 Config'!$G$1=4,'DDR3 Spec'!AT23,'DDR3 Spec'!BE23))))</f>
        <v xml:space="preserve"> na</v>
      </c>
      <c r="N61" s="54"/>
      <c r="O61" s="54"/>
      <c r="P61" s="54"/>
      <c r="Q61" s="54"/>
      <c r="R61" s="54"/>
      <c r="S61" s="54"/>
      <c r="T61" s="54"/>
      <c r="U61" s="54"/>
      <c r="V61" s="54"/>
      <c r="W61" s="54">
        <f>HLOOKUP($W$43,$D$43:$M$77,19)</f>
        <v>252</v>
      </c>
      <c r="X61" s="54"/>
      <c r="Y61" s="54"/>
      <c r="Z61" s="54"/>
      <c r="AA61" s="54"/>
      <c r="AB61" s="54"/>
      <c r="AC61" s="54"/>
      <c r="AD61" s="54"/>
      <c r="AE61" s="54"/>
      <c r="AF61" s="54"/>
      <c r="AG61" s="54"/>
      <c r="AH61" s="54"/>
      <c r="AI61" s="54"/>
      <c r="AJ61" s="54"/>
      <c r="AK61" s="34"/>
    </row>
    <row r="62" spans="1:37" ht="24" hidden="1" customHeight="1">
      <c r="A62" s="56"/>
      <c r="B62" s="57"/>
      <c r="C62" s="263" t="s">
        <v>186</v>
      </c>
      <c r="D62" s="54" t="str">
        <f>IF('DDR3 Config'!$G$1=1,'DDR3 Spec'!D24,IF('DDR3 Config'!$G$1=2,'DDR3 Spec'!O24,IF('DDR3 Config'!$G$1=3,'DDR3 Spec'!Z24,IF('DDR3 Config'!$G$1=4,'DDR3 Spec'!AK24,'DDR3 Spec'!AV24))))</f>
        <v xml:space="preserve"> na</v>
      </c>
      <c r="E62" s="54">
        <f>IF('DDR3 Config'!$G$1=1,'DDR3 Spec'!E24,IF('DDR3 Config'!$G$1=2,'DDR3 Spec'!P24,IF('DDR3 Config'!$G$1=3,'DDR3 Spec'!AA24,IF('DDR3 Config'!$G$1=4,'DDR3 Spec'!AL24,'DDR3 Spec'!AW24))))</f>
        <v>110</v>
      </c>
      <c r="F62" s="54" t="str">
        <f>IF('DDR3 Config'!$G$1=1,'DDR3 Spec'!F24,IF('DDR3 Config'!$G$1=2,'DDR3 Spec'!Q24,IF('DDR3 Config'!$G$1=3,'DDR3 Spec'!AB24,IF('DDR3 Config'!$G$1=4,'DDR3 Spec'!AM24,'DDR3 Spec'!AX24))))</f>
        <v xml:space="preserve"> na</v>
      </c>
      <c r="G62" s="54">
        <f>IF('DDR3 Config'!$G$1=1,'DDR3 Spec'!G24,IF('DDR3 Config'!$G$1=2,'DDR3 Spec'!R24,IF('DDR3 Config'!$G$1=3,'DDR3 Spec'!AC24,IF('DDR3 Config'!$G$1=4,'DDR3 Spec'!AN24,'DDR3 Spec'!AY24))))</f>
        <v>133</v>
      </c>
      <c r="H62" s="54" t="str">
        <f>IF('DDR3 Config'!$G$1=1,'DDR3 Spec'!H24,IF('DDR3 Config'!$G$1=2,'DDR3 Spec'!S24,IF('DDR3 Config'!$G$1=3,'DDR3 Spec'!AD24,IF('DDR3 Config'!$G$1=4,'DDR3 Spec'!AO24,'DDR3 Spec'!AZ24))))</f>
        <v xml:space="preserve"> na</v>
      </c>
      <c r="I62" s="54">
        <f>IF('DDR3 Config'!$G$1=1,'DDR3 Spec'!I24,IF('DDR3 Config'!$G$1=2,'DDR3 Spec'!T24,IF('DDR3 Config'!$G$1=3,'DDR3 Spec'!AE24,IF('DDR3 Config'!$G$1=4,'DDR3 Spec'!AP24,'DDR3 Spec'!BA24))))</f>
        <v>90</v>
      </c>
      <c r="J62" s="54" t="str">
        <f>IF('DDR3 Config'!$G$1=1,'DDR3 Spec'!J24,IF('DDR3 Config'!$G$1=2,'DDR3 Spec'!U24,IF('DDR3 Config'!$G$1=3,'DDR3 Spec'!AF24,IF('DDR3 Config'!$G$1=4,'DDR3 Spec'!AQ24,'DDR3 Spec'!BB24))))</f>
        <v xml:space="preserve"> na</v>
      </c>
      <c r="K62" s="54" t="str">
        <f>IF('DDR3 Config'!$G$1=1,'DDR3 Spec'!K24,IF('DDR3 Config'!$G$1=2,'DDR3 Spec'!V24,IF('DDR3 Config'!$G$1=3,'DDR3 Spec'!AG24,IF('DDR3 Config'!$G$1=4,'DDR3 Spec'!AR24,'DDR3 Spec'!BC24))))</f>
        <v xml:space="preserve"> na</v>
      </c>
      <c r="L62" s="54" t="str">
        <f>IF('DDR3 Config'!$G$1=1,'DDR3 Spec'!L24,IF('DDR3 Config'!$G$1=2,'DDR3 Spec'!W24,IF('DDR3 Config'!$G$1=3,'DDR3 Spec'!AH24,IF('DDR3 Config'!$G$1=4,'DDR3 Spec'!AS24,'DDR3 Spec'!BD24))))</f>
        <v xml:space="preserve"> na</v>
      </c>
      <c r="M62" s="54" t="str">
        <f>IF('DDR3 Config'!$G$1=1,'DDR3 Spec'!M24,IF('DDR3 Config'!$G$1=2,'DDR3 Spec'!X24,IF('DDR3 Config'!$G$1=3,'DDR3 Spec'!AI24,IF('DDR3 Config'!$G$1=4,'DDR3 Spec'!AT24,'DDR3 Spec'!BE24))))</f>
        <v xml:space="preserve"> na</v>
      </c>
      <c r="N62" s="54"/>
      <c r="O62" s="54"/>
      <c r="P62" s="54"/>
      <c r="Q62" s="54"/>
      <c r="R62" s="54"/>
      <c r="S62" s="54"/>
      <c r="T62" s="54"/>
      <c r="U62" s="54"/>
      <c r="V62" s="54"/>
      <c r="W62" s="54">
        <f>HLOOKUP($W$43,$D$43:$M$77,20)</f>
        <v>133</v>
      </c>
      <c r="X62" s="54"/>
      <c r="Y62" s="54"/>
      <c r="Z62" s="54"/>
      <c r="AA62" s="54"/>
      <c r="AB62" s="54"/>
      <c r="AC62" s="54"/>
      <c r="AD62" s="54"/>
      <c r="AE62" s="54"/>
      <c r="AF62" s="54"/>
      <c r="AG62" s="54"/>
      <c r="AH62" s="54"/>
      <c r="AI62" s="54"/>
      <c r="AJ62" s="54"/>
      <c r="AK62" s="34"/>
    </row>
    <row r="63" spans="1:37" ht="24" hidden="1" customHeight="1">
      <c r="A63" s="56"/>
      <c r="B63" s="57"/>
      <c r="C63" s="263"/>
      <c r="D63" s="54" t="str">
        <f>IF('DDR3 Config'!$G$1=1,'DDR3 Spec'!D25,IF('DDR3 Config'!$G$1=2,'DDR3 Spec'!O25,IF('DDR3 Config'!$G$1=3,'DDR3 Spec'!Z25,IF('DDR3 Config'!$G$1=4,'DDR3 Spec'!AK25,'DDR3 Spec'!AV25))))</f>
        <v xml:space="preserve"> na</v>
      </c>
      <c r="E63" s="54">
        <f>IF('DDR3 Config'!$G$1=1,'DDR3 Spec'!E25,IF('DDR3 Config'!$G$1=2,'DDR3 Spec'!P25,IF('DDR3 Config'!$G$1=3,'DDR3 Spec'!AA25,IF('DDR3 Config'!$G$1=4,'DDR3 Spec'!AL25,'DDR3 Spec'!AW25))))</f>
        <v>110</v>
      </c>
      <c r="F63" s="54" t="str">
        <f>IF('DDR3 Config'!$G$1=1,'DDR3 Spec'!F25,IF('DDR3 Config'!$G$1=2,'DDR3 Spec'!Q25,IF('DDR3 Config'!$G$1=3,'DDR3 Spec'!AB25,IF('DDR3 Config'!$G$1=4,'DDR3 Spec'!AM25,'DDR3 Spec'!AX25))))</f>
        <v xml:space="preserve"> na</v>
      </c>
      <c r="G63" s="54">
        <f>IF('DDR3 Config'!$G$1=1,'DDR3 Spec'!G25,IF('DDR3 Config'!$G$1=2,'DDR3 Spec'!R25,IF('DDR3 Config'!$G$1=3,'DDR3 Spec'!AC25,IF('DDR3 Config'!$G$1=4,'DDR3 Spec'!AN25,'DDR3 Spec'!AY25))))</f>
        <v>141</v>
      </c>
      <c r="H63" s="54" t="str">
        <f>IF('DDR3 Config'!$G$1=1,'DDR3 Spec'!H25,IF('DDR3 Config'!$G$1=2,'DDR3 Spec'!S25,IF('DDR3 Config'!$G$1=3,'DDR3 Spec'!AD25,IF('DDR3 Config'!$G$1=4,'DDR3 Spec'!AO25,'DDR3 Spec'!AZ25))))</f>
        <v xml:space="preserve"> na</v>
      </c>
      <c r="I63" s="54">
        <f>IF('DDR3 Config'!$G$1=1,'DDR3 Spec'!I25,IF('DDR3 Config'!$G$1=2,'DDR3 Spec'!T25,IF('DDR3 Config'!$G$1=3,'DDR3 Spec'!AE25,IF('DDR3 Config'!$G$1=4,'DDR3 Spec'!AP25,'DDR3 Spec'!BA25))))</f>
        <v>90</v>
      </c>
      <c r="J63" s="54" t="str">
        <f>IF('DDR3 Config'!$G$1=1,'DDR3 Spec'!J25,IF('DDR3 Config'!$G$1=2,'DDR3 Spec'!U25,IF('DDR3 Config'!$G$1=3,'DDR3 Spec'!AF25,IF('DDR3 Config'!$G$1=4,'DDR3 Spec'!AQ25,'DDR3 Spec'!BB25))))</f>
        <v xml:space="preserve"> na</v>
      </c>
      <c r="K63" s="54" t="str">
        <f>IF('DDR3 Config'!$G$1=1,'DDR3 Spec'!K25,IF('DDR3 Config'!$G$1=2,'DDR3 Spec'!V25,IF('DDR3 Config'!$G$1=3,'DDR3 Spec'!AG25,IF('DDR3 Config'!$G$1=4,'DDR3 Spec'!AR25,'DDR3 Spec'!BC25))))</f>
        <v xml:space="preserve"> na</v>
      </c>
      <c r="L63" s="54" t="str">
        <f>IF('DDR3 Config'!$G$1=1,'DDR3 Spec'!L25,IF('DDR3 Config'!$G$1=2,'DDR3 Spec'!W25,IF('DDR3 Config'!$G$1=3,'DDR3 Spec'!AH25,IF('DDR3 Config'!$G$1=4,'DDR3 Spec'!AS25,'DDR3 Spec'!BD25))))</f>
        <v xml:space="preserve"> na</v>
      </c>
      <c r="M63" s="54" t="str">
        <f>IF('DDR3 Config'!$G$1=1,'DDR3 Spec'!M25,IF('DDR3 Config'!$G$1=2,'DDR3 Spec'!X25,IF('DDR3 Config'!$G$1=3,'DDR3 Spec'!AI25,IF('DDR3 Config'!$G$1=4,'DDR3 Spec'!AT25,'DDR3 Spec'!BE25))))</f>
        <v xml:space="preserve"> na</v>
      </c>
      <c r="N63" s="54"/>
      <c r="O63" s="54"/>
      <c r="P63" s="54"/>
      <c r="Q63" s="54"/>
      <c r="R63" s="54"/>
      <c r="S63" s="54"/>
      <c r="T63" s="54"/>
      <c r="U63" s="54"/>
      <c r="V63" s="54"/>
      <c r="W63" s="54">
        <f>HLOOKUP($W$43,$D$43:$M$77,21)</f>
        <v>141</v>
      </c>
      <c r="X63" s="54"/>
      <c r="Y63" s="54"/>
      <c r="Z63" s="54"/>
      <c r="AA63" s="54"/>
      <c r="AB63" s="54"/>
      <c r="AC63" s="54"/>
      <c r="AD63" s="54"/>
      <c r="AE63" s="54"/>
      <c r="AF63" s="54"/>
      <c r="AG63" s="54"/>
      <c r="AH63" s="54"/>
      <c r="AI63" s="54"/>
      <c r="AJ63" s="54"/>
      <c r="AK63" s="34"/>
    </row>
    <row r="64" spans="1:37" ht="24" hidden="1" customHeight="1">
      <c r="A64" s="56"/>
      <c r="B64" s="57"/>
      <c r="C64" s="263"/>
      <c r="D64" s="54" t="str">
        <f>IF('DDR3 Config'!$G$1=1,'DDR3 Spec'!D26,IF('DDR3 Config'!$G$1=2,'DDR3 Spec'!O26,IF('DDR3 Config'!$G$1=3,'DDR3 Spec'!Z26,IF('DDR3 Config'!$G$1=4,'DDR3 Spec'!AK26,'DDR3 Spec'!AV26))))</f>
        <v xml:space="preserve"> na</v>
      </c>
      <c r="E64" s="54">
        <f>IF('DDR3 Config'!$G$1=1,'DDR3 Spec'!E26,IF('DDR3 Config'!$G$1=2,'DDR3 Spec'!P26,IF('DDR3 Config'!$G$1=3,'DDR3 Spec'!AA26,IF('DDR3 Config'!$G$1=4,'DDR3 Spec'!AL26,'DDR3 Spec'!AW26))))</f>
        <v>140</v>
      </c>
      <c r="F64" s="54" t="str">
        <f>IF('DDR3 Config'!$G$1=1,'DDR3 Spec'!F26,IF('DDR3 Config'!$G$1=2,'DDR3 Spec'!Q26,IF('DDR3 Config'!$G$1=3,'DDR3 Spec'!AB26,IF('DDR3 Config'!$G$1=4,'DDR3 Spec'!AM26,'DDR3 Spec'!AX26))))</f>
        <v xml:space="preserve"> na</v>
      </c>
      <c r="G64" s="54">
        <f>IF('DDR3 Config'!$G$1=1,'DDR3 Spec'!G26,IF('DDR3 Config'!$G$1=2,'DDR3 Spec'!R26,IF('DDR3 Config'!$G$1=3,'DDR3 Spec'!AC26,IF('DDR3 Config'!$G$1=4,'DDR3 Spec'!AN26,'DDR3 Spec'!AY26))))</f>
        <v>190</v>
      </c>
      <c r="H64" s="54" t="str">
        <f>IF('DDR3 Config'!$G$1=1,'DDR3 Spec'!H26,IF('DDR3 Config'!$G$1=2,'DDR3 Spec'!S26,IF('DDR3 Config'!$G$1=3,'DDR3 Spec'!AD26,IF('DDR3 Config'!$G$1=4,'DDR3 Spec'!AO26,'DDR3 Spec'!AZ26))))</f>
        <v xml:space="preserve"> na</v>
      </c>
      <c r="I64" s="54">
        <f>IF('DDR3 Config'!$G$1=1,'DDR3 Spec'!I26,IF('DDR3 Config'!$G$1=2,'DDR3 Spec'!T26,IF('DDR3 Config'!$G$1=3,'DDR3 Spec'!AE26,IF('DDR3 Config'!$G$1=4,'DDR3 Spec'!AP26,'DDR3 Spec'!BA26))))</f>
        <v>120</v>
      </c>
      <c r="J64" s="54" t="str">
        <f>IF('DDR3 Config'!$G$1=1,'DDR3 Spec'!J26,IF('DDR3 Config'!$G$1=2,'DDR3 Spec'!U26,IF('DDR3 Config'!$G$1=3,'DDR3 Spec'!AF26,IF('DDR3 Config'!$G$1=4,'DDR3 Spec'!AQ26,'DDR3 Spec'!BB26))))</f>
        <v xml:space="preserve"> na</v>
      </c>
      <c r="K64" s="54" t="str">
        <f>IF('DDR3 Config'!$G$1=1,'DDR3 Spec'!K26,IF('DDR3 Config'!$G$1=2,'DDR3 Spec'!V26,IF('DDR3 Config'!$G$1=3,'DDR3 Spec'!AG26,IF('DDR3 Config'!$G$1=4,'DDR3 Spec'!AR26,'DDR3 Spec'!BC26))))</f>
        <v xml:space="preserve"> na</v>
      </c>
      <c r="L64" s="54" t="str">
        <f>IF('DDR3 Config'!$G$1=1,'DDR3 Spec'!L26,IF('DDR3 Config'!$G$1=2,'DDR3 Spec'!W26,IF('DDR3 Config'!$G$1=3,'DDR3 Spec'!AH26,IF('DDR3 Config'!$G$1=4,'DDR3 Spec'!AS26,'DDR3 Spec'!BD26))))</f>
        <v xml:space="preserve"> na</v>
      </c>
      <c r="M64" s="54" t="str">
        <f>IF('DDR3 Config'!$G$1=1,'DDR3 Spec'!M26,IF('DDR3 Config'!$G$1=2,'DDR3 Spec'!X26,IF('DDR3 Config'!$G$1=3,'DDR3 Spec'!AI26,IF('DDR3 Config'!$G$1=4,'DDR3 Spec'!AT26,'DDR3 Spec'!BE26))))</f>
        <v xml:space="preserve"> na</v>
      </c>
      <c r="N64" s="54"/>
      <c r="O64" s="54"/>
      <c r="P64" s="54"/>
      <c r="Q64" s="54"/>
      <c r="R64" s="54"/>
      <c r="S64" s="54"/>
      <c r="T64" s="54"/>
      <c r="U64" s="54"/>
      <c r="V64" s="54"/>
      <c r="W64" s="54">
        <f>HLOOKUP($W$43,$D$43:$M$77,22)</f>
        <v>190</v>
      </c>
      <c r="X64" s="54"/>
      <c r="Y64" s="54"/>
      <c r="Z64" s="54"/>
      <c r="AA64" s="54"/>
      <c r="AB64" s="54"/>
      <c r="AC64" s="54"/>
      <c r="AD64" s="54"/>
      <c r="AE64" s="54"/>
      <c r="AF64" s="54"/>
      <c r="AG64" s="54"/>
      <c r="AH64" s="54"/>
      <c r="AI64" s="54"/>
      <c r="AJ64" s="54"/>
      <c r="AK64" s="34"/>
    </row>
    <row r="65" spans="1:37" ht="24" hidden="1" customHeight="1">
      <c r="A65" s="56"/>
      <c r="B65" s="57"/>
      <c r="C65" s="263" t="s">
        <v>187</v>
      </c>
      <c r="D65" s="54" t="str">
        <f>IF('DDR3 Config'!$G$1=1,'DDR3 Spec'!D27,IF('DDR3 Config'!$G$1=2,'DDR3 Spec'!O27,IF('DDR3 Config'!$G$1=3,'DDR3 Spec'!Z27,IF('DDR3 Config'!$G$1=4,'DDR3 Spec'!AK27,'DDR3 Spec'!AV27))))</f>
        <v xml:space="preserve"> na</v>
      </c>
      <c r="E65" s="54">
        <f>IF('DDR3 Config'!$G$1=1,'DDR3 Spec'!E27,IF('DDR3 Config'!$G$1=2,'DDR3 Spec'!P27,IF('DDR3 Config'!$G$1=3,'DDR3 Spec'!AA27,IF('DDR3 Config'!$G$1=4,'DDR3 Spec'!AL27,'DDR3 Spec'!AW27))))</f>
        <v>160</v>
      </c>
      <c r="F65" s="54" t="str">
        <f>IF('DDR3 Config'!$G$1=1,'DDR3 Spec'!F27,IF('DDR3 Config'!$G$1=2,'DDR3 Spec'!Q27,IF('DDR3 Config'!$G$1=3,'DDR3 Spec'!AB27,IF('DDR3 Config'!$G$1=4,'DDR3 Spec'!AM27,'DDR3 Spec'!AX27))))</f>
        <v xml:space="preserve"> na</v>
      </c>
      <c r="G65" s="54">
        <f>IF('DDR3 Config'!$G$1=1,'DDR3 Spec'!G27,IF('DDR3 Config'!$G$1=2,'DDR3 Spec'!R27,IF('DDR3 Config'!$G$1=3,'DDR3 Spec'!AC27,IF('DDR3 Config'!$G$1=4,'DDR3 Spec'!AN27,'DDR3 Spec'!AY27))))</f>
        <v>242</v>
      </c>
      <c r="H65" s="54" t="str">
        <f>IF('DDR3 Config'!$G$1=1,'DDR3 Spec'!H27,IF('DDR3 Config'!$G$1=2,'DDR3 Spec'!S27,IF('DDR3 Config'!$G$1=3,'DDR3 Spec'!AD27,IF('DDR3 Config'!$G$1=4,'DDR3 Spec'!AO27,'DDR3 Spec'!AZ27))))</f>
        <v xml:space="preserve"> na</v>
      </c>
      <c r="I65" s="54">
        <f>IF('DDR3 Config'!$G$1=1,'DDR3 Spec'!I27,IF('DDR3 Config'!$G$1=2,'DDR3 Spec'!T27,IF('DDR3 Config'!$G$1=3,'DDR3 Spec'!AE27,IF('DDR3 Config'!$G$1=4,'DDR3 Spec'!AP27,'DDR3 Spec'!BA27))))</f>
        <v>152</v>
      </c>
      <c r="J65" s="54" t="str">
        <f>IF('DDR3 Config'!$G$1=1,'DDR3 Spec'!J27,IF('DDR3 Config'!$G$1=2,'DDR3 Spec'!U27,IF('DDR3 Config'!$G$1=3,'DDR3 Spec'!AF27,IF('DDR3 Config'!$G$1=4,'DDR3 Spec'!AQ27,'DDR3 Spec'!BB27))))</f>
        <v xml:space="preserve"> na</v>
      </c>
      <c r="K65" s="54" t="str">
        <f>IF('DDR3 Config'!$G$1=1,'DDR3 Spec'!K27,IF('DDR3 Config'!$G$1=2,'DDR3 Spec'!V27,IF('DDR3 Config'!$G$1=3,'DDR3 Spec'!AG27,IF('DDR3 Config'!$G$1=4,'DDR3 Spec'!AR27,'DDR3 Spec'!BC27))))</f>
        <v xml:space="preserve"> na</v>
      </c>
      <c r="L65" s="54" t="str">
        <f>IF('DDR3 Config'!$G$1=1,'DDR3 Spec'!L27,IF('DDR3 Config'!$G$1=2,'DDR3 Spec'!W27,IF('DDR3 Config'!$G$1=3,'DDR3 Spec'!AH27,IF('DDR3 Config'!$G$1=4,'DDR3 Spec'!AS27,'DDR3 Spec'!BD27))))</f>
        <v xml:space="preserve"> na</v>
      </c>
      <c r="M65" s="54" t="str">
        <f>IF('DDR3 Config'!$G$1=1,'DDR3 Spec'!M27,IF('DDR3 Config'!$G$1=2,'DDR3 Spec'!X27,IF('DDR3 Config'!$G$1=3,'DDR3 Spec'!AI27,IF('DDR3 Config'!$G$1=4,'DDR3 Spec'!AT27,'DDR3 Spec'!BE27))))</f>
        <v xml:space="preserve"> na</v>
      </c>
      <c r="N65" s="54"/>
      <c r="O65" s="54"/>
      <c r="P65" s="54"/>
      <c r="Q65" s="54"/>
      <c r="R65" s="54"/>
      <c r="S65" s="54"/>
      <c r="T65" s="54"/>
      <c r="U65" s="54"/>
      <c r="V65" s="54"/>
      <c r="W65" s="54">
        <f>HLOOKUP($W$43,$D$43:$M$77,23)</f>
        <v>242</v>
      </c>
      <c r="X65" s="54"/>
      <c r="Y65" s="54"/>
      <c r="Z65" s="54"/>
      <c r="AA65" s="54"/>
      <c r="AB65" s="54"/>
      <c r="AC65" s="54"/>
      <c r="AD65" s="54"/>
      <c r="AE65" s="54"/>
      <c r="AF65" s="54"/>
      <c r="AG65" s="54"/>
      <c r="AH65" s="54"/>
      <c r="AI65" s="54"/>
      <c r="AJ65" s="54"/>
      <c r="AK65" s="34"/>
    </row>
    <row r="66" spans="1:37" ht="24" hidden="1" customHeight="1">
      <c r="A66" s="56"/>
      <c r="B66" s="57"/>
      <c r="C66" s="263"/>
      <c r="D66" s="54" t="str">
        <f>IF('DDR3 Config'!$G$1=1,'DDR3 Spec'!D28,IF('DDR3 Config'!$G$1=2,'DDR3 Spec'!O28,IF('DDR3 Config'!$G$1=3,'DDR3 Spec'!Z28,IF('DDR3 Config'!$G$1=4,'DDR3 Spec'!AK28,'DDR3 Spec'!AV28))))</f>
        <v xml:space="preserve"> na</v>
      </c>
      <c r="E66" s="54">
        <f>IF('DDR3 Config'!$G$1=1,'DDR3 Spec'!E28,IF('DDR3 Config'!$G$1=2,'DDR3 Spec'!P28,IF('DDR3 Config'!$G$1=3,'DDR3 Spec'!AA28,IF('DDR3 Config'!$G$1=4,'DDR3 Spec'!AL28,'DDR3 Spec'!AW28))))</f>
        <v>160</v>
      </c>
      <c r="F66" s="54" t="str">
        <f>IF('DDR3 Config'!$G$1=1,'DDR3 Spec'!F28,IF('DDR3 Config'!$G$1=2,'DDR3 Spec'!Q28,IF('DDR3 Config'!$G$1=3,'DDR3 Spec'!AB28,IF('DDR3 Config'!$G$1=4,'DDR3 Spec'!AM28,'DDR3 Spec'!AX28))))</f>
        <v xml:space="preserve"> na</v>
      </c>
      <c r="G66" s="54">
        <f>IF('DDR3 Config'!$G$1=1,'DDR3 Spec'!G28,IF('DDR3 Config'!$G$1=2,'DDR3 Spec'!R28,IF('DDR3 Config'!$G$1=3,'DDR3 Spec'!AC28,IF('DDR3 Config'!$G$1=4,'DDR3 Spec'!AN28,'DDR3 Spec'!AY28))))</f>
        <v>242</v>
      </c>
      <c r="H66" s="54" t="str">
        <f>IF('DDR3 Config'!$G$1=1,'DDR3 Spec'!H28,IF('DDR3 Config'!$G$1=2,'DDR3 Spec'!S28,IF('DDR3 Config'!$G$1=3,'DDR3 Spec'!AD28,IF('DDR3 Config'!$G$1=4,'DDR3 Spec'!AO28,'DDR3 Spec'!AZ28))))</f>
        <v xml:space="preserve"> na</v>
      </c>
      <c r="I66" s="54">
        <f>IF('DDR3 Config'!$G$1=1,'DDR3 Spec'!I28,IF('DDR3 Config'!$G$1=2,'DDR3 Spec'!T28,IF('DDR3 Config'!$G$1=3,'DDR3 Spec'!AE28,IF('DDR3 Config'!$G$1=4,'DDR3 Spec'!AP28,'DDR3 Spec'!BA28))))</f>
        <v>156</v>
      </c>
      <c r="J66" s="54" t="str">
        <f>IF('DDR3 Config'!$G$1=1,'DDR3 Spec'!J28,IF('DDR3 Config'!$G$1=2,'DDR3 Spec'!U28,IF('DDR3 Config'!$G$1=3,'DDR3 Spec'!AF28,IF('DDR3 Config'!$G$1=4,'DDR3 Spec'!AQ28,'DDR3 Spec'!BB28))))</f>
        <v xml:space="preserve"> na</v>
      </c>
      <c r="K66" s="54" t="str">
        <f>IF('DDR3 Config'!$G$1=1,'DDR3 Spec'!K28,IF('DDR3 Config'!$G$1=2,'DDR3 Spec'!V28,IF('DDR3 Config'!$G$1=3,'DDR3 Spec'!AG28,IF('DDR3 Config'!$G$1=4,'DDR3 Spec'!AR28,'DDR3 Spec'!BC28))))</f>
        <v xml:space="preserve"> na</v>
      </c>
      <c r="L66" s="54" t="str">
        <f>IF('DDR3 Config'!$G$1=1,'DDR3 Spec'!L28,IF('DDR3 Config'!$G$1=2,'DDR3 Spec'!W28,IF('DDR3 Config'!$G$1=3,'DDR3 Spec'!AH28,IF('DDR3 Config'!$G$1=4,'DDR3 Spec'!AS28,'DDR3 Spec'!BD28))))</f>
        <v xml:space="preserve"> na</v>
      </c>
      <c r="M66" s="54" t="str">
        <f>IF('DDR3 Config'!$G$1=1,'DDR3 Spec'!M28,IF('DDR3 Config'!$G$1=2,'DDR3 Spec'!X28,IF('DDR3 Config'!$G$1=3,'DDR3 Spec'!AI28,IF('DDR3 Config'!$G$1=4,'DDR3 Spec'!AT28,'DDR3 Spec'!BE28))))</f>
        <v xml:space="preserve"> na</v>
      </c>
      <c r="N66" s="54"/>
      <c r="O66" s="54"/>
      <c r="P66" s="54"/>
      <c r="Q66" s="54"/>
      <c r="R66" s="54"/>
      <c r="S66" s="54"/>
      <c r="T66" s="54"/>
      <c r="U66" s="54"/>
      <c r="V66" s="54"/>
      <c r="W66" s="54">
        <f>HLOOKUP($W$43,$D$43:$M$77,24)</f>
        <v>242</v>
      </c>
      <c r="X66" s="54"/>
      <c r="Y66" s="54"/>
      <c r="Z66" s="54"/>
      <c r="AA66" s="54"/>
      <c r="AB66" s="54"/>
      <c r="AC66" s="54"/>
      <c r="AD66" s="54"/>
      <c r="AE66" s="54"/>
      <c r="AF66" s="54"/>
      <c r="AG66" s="54"/>
      <c r="AH66" s="54"/>
      <c r="AI66" s="54"/>
      <c r="AJ66" s="54"/>
      <c r="AK66" s="34"/>
    </row>
    <row r="67" spans="1:37" ht="24" hidden="1" customHeight="1">
      <c r="A67" s="56"/>
      <c r="B67" s="57"/>
      <c r="C67" s="56"/>
      <c r="E67" s="4"/>
      <c r="F67" s="4"/>
      <c r="G67" s="4"/>
      <c r="H67" s="4"/>
      <c r="I67" s="4"/>
      <c r="J67" s="4"/>
      <c r="K67" s="4"/>
      <c r="L67" s="4"/>
      <c r="M67" s="4"/>
      <c r="U67" s="54"/>
      <c r="X67" s="54"/>
      <c r="Y67" s="54"/>
      <c r="Z67" s="54"/>
      <c r="AA67" s="54"/>
      <c r="AB67" s="54"/>
      <c r="AC67" s="54"/>
      <c r="AD67" s="54"/>
      <c r="AE67" s="54"/>
      <c r="AF67" s="54"/>
      <c r="AG67" s="54"/>
      <c r="AH67" s="54"/>
      <c r="AI67" s="54"/>
      <c r="AJ67" s="54"/>
      <c r="AK67" s="34"/>
    </row>
    <row r="68" spans="1:37" ht="24" hidden="1" customHeight="1">
      <c r="A68" s="56"/>
      <c r="B68" s="57"/>
      <c r="C68" s="56"/>
      <c r="D68" s="54"/>
      <c r="E68" s="54"/>
      <c r="F68" s="54"/>
      <c r="G68" s="54"/>
      <c r="H68" s="54"/>
      <c r="I68" s="54"/>
      <c r="J68" s="54"/>
      <c r="K68" s="54"/>
      <c r="L68" s="54"/>
      <c r="M68" s="54"/>
      <c r="N68" s="54"/>
      <c r="O68" s="54"/>
      <c r="P68" s="54"/>
      <c r="Q68" s="54"/>
      <c r="R68" s="54"/>
      <c r="S68" s="54"/>
      <c r="T68" s="54"/>
      <c r="U68" s="54"/>
      <c r="V68" s="54"/>
      <c r="W68" s="54"/>
      <c r="X68" s="54"/>
      <c r="Y68" s="54"/>
      <c r="Z68" s="54"/>
      <c r="AA68" s="54"/>
      <c r="AB68" s="54"/>
      <c r="AC68" s="54"/>
      <c r="AD68" s="54"/>
      <c r="AE68" s="54"/>
      <c r="AF68" s="54"/>
      <c r="AG68" s="54"/>
      <c r="AH68" s="54"/>
      <c r="AI68" s="54"/>
      <c r="AJ68" s="54"/>
      <c r="AK68" s="34"/>
    </row>
    <row r="69" spans="1:37" ht="24" hidden="1" customHeight="1">
      <c r="A69" s="56"/>
      <c r="B69" s="57"/>
      <c r="C69" s="53"/>
      <c r="D69" s="54">
        <f>IF('DDR3 Config'!$G$1=1,'DDR3 Spec'!D30,IF('DDR3 Config'!$G$1=2,'DDR3 Spec'!O30,IF('DDR3 Config'!$G$1=3,'DDR3 Spec'!Z30,IF('DDR3 Config'!$G$1=4,'DDR3 Spec'!AK30,'DDR3 Spec'!AV30))))</f>
        <v>0.93799999999999994</v>
      </c>
      <c r="E69" s="54">
        <f>IF('DDR3 Config'!$G$1=1,'DDR3 Spec'!E30,IF('DDR3 Config'!$G$1=2,'DDR3 Spec'!P30,IF('DDR3 Config'!$G$1=3,'DDR3 Spec'!AA30,IF('DDR3 Config'!$G$1=4,'DDR3 Spec'!AL30,'DDR3 Spec'!AW30))))</f>
        <v>0.93799999999999994</v>
      </c>
      <c r="F69" s="54">
        <f>IF('DDR3 Config'!$G$1=1,'DDR3 Spec'!F30,IF('DDR3 Config'!$G$1=2,'DDR3 Spec'!Q30,IF('DDR3 Config'!$G$1=3,'DDR3 Spec'!AB30,IF('DDR3 Config'!$G$1=4,'DDR3 Spec'!AM30,'DDR3 Spec'!AX30))))</f>
        <v>1.07</v>
      </c>
      <c r="G69" s="54">
        <f>IF('DDR3 Config'!$G$1=1,'DDR3 Spec'!G30,IF('DDR3 Config'!$G$1=2,'DDR3 Spec'!R30,IF('DDR3 Config'!$G$1=3,'DDR3 Spec'!AC30,IF('DDR3 Config'!$G$1=4,'DDR3 Spec'!AN30,'DDR3 Spec'!AY30))))</f>
        <v>1.07</v>
      </c>
      <c r="H69" s="54">
        <f>IF('DDR3 Config'!$G$1=1,'DDR3 Spec'!H30,IF('DDR3 Config'!$G$1=2,'DDR3 Spec'!S30,IF('DDR3 Config'!$G$1=3,'DDR3 Spec'!AD30,IF('DDR3 Config'!$G$1=4,'DDR3 Spec'!AO30,'DDR3 Spec'!AZ30))))</f>
        <v>1.25</v>
      </c>
      <c r="I69" s="54">
        <f>IF('DDR3 Config'!$G$1=1,'DDR3 Spec'!I30,IF('DDR3 Config'!$G$1=2,'DDR3 Spec'!T30,IF('DDR3 Config'!$G$1=3,'DDR3 Spec'!AE30,IF('DDR3 Config'!$G$1=4,'DDR3 Spec'!AP30,'DDR3 Spec'!BA30))))</f>
        <v>1.25</v>
      </c>
      <c r="J69" s="54">
        <f>IF('DDR3 Config'!$G$1=1,'DDR3 Spec'!J30,IF('DDR3 Config'!$G$1=2,'DDR3 Spec'!U30,IF('DDR3 Config'!$G$1=3,'DDR3 Spec'!AF30,IF('DDR3 Config'!$G$1=4,'DDR3 Spec'!AQ30,'DDR3 Spec'!BB30))))</f>
        <v>1.5</v>
      </c>
      <c r="K69" s="54">
        <f>IF('DDR3 Config'!$G$1=1,'DDR3 Spec'!K30,IF('DDR3 Config'!$G$1=2,'DDR3 Spec'!V30,IF('DDR3 Config'!$G$1=3,'DDR3 Spec'!AG30,IF('DDR3 Config'!$G$1=4,'DDR3 Spec'!AR30,'DDR3 Spec'!BC30))))</f>
        <v>1.875</v>
      </c>
      <c r="L69" s="54">
        <f>IF('DDR3 Config'!$G$1=1,'DDR3 Spec'!L30,IF('DDR3 Config'!$G$1=2,'DDR3 Spec'!W30,IF('DDR3 Config'!$G$1=3,'DDR3 Spec'!AH30,IF('DDR3 Config'!$G$1=4,'DDR3 Spec'!AS30,'DDR3 Spec'!BD30))))</f>
        <v>1.875</v>
      </c>
      <c r="M69" s="54">
        <f>IF('DDR3 Config'!$G$1=1,'DDR3 Spec'!M30,IF('DDR3 Config'!$G$1=2,'DDR3 Spec'!X30,IF('DDR3 Config'!$G$1=3,'DDR3 Spec'!AI30,IF('DDR3 Config'!$G$1=4,'DDR3 Spec'!AT30,'DDR3 Spec'!BE30))))</f>
        <v>2.5</v>
      </c>
      <c r="N69" s="54"/>
      <c r="O69" s="54"/>
      <c r="P69" s="54"/>
      <c r="Q69" s="54"/>
      <c r="R69" s="54"/>
      <c r="S69" s="54"/>
      <c r="T69" s="54"/>
      <c r="U69" s="54"/>
      <c r="V69" s="54"/>
      <c r="W69" s="54">
        <f>HLOOKUP($W$43,$D$43:$M$77,27)</f>
        <v>1.07</v>
      </c>
      <c r="X69" s="54"/>
      <c r="Y69" s="54"/>
      <c r="Z69" s="54"/>
      <c r="AA69" s="54"/>
      <c r="AB69" s="54"/>
      <c r="AC69" s="54"/>
      <c r="AD69" s="54"/>
      <c r="AE69" s="54"/>
      <c r="AF69" s="54"/>
      <c r="AG69" s="54"/>
      <c r="AH69" s="54"/>
      <c r="AI69" s="54"/>
      <c r="AJ69" s="54"/>
      <c r="AK69" s="34"/>
    </row>
    <row r="70" spans="1:37" ht="24" hidden="1" customHeight="1">
      <c r="A70" s="56"/>
      <c r="B70" s="57"/>
      <c r="C70" s="272" t="s">
        <v>189</v>
      </c>
      <c r="D70" s="54">
        <f>IF('DDR3 Config'!$G$1=1,'DDR3 Spec'!D31,IF('DDR3 Config'!$G$1=2,'DDR3 Spec'!O31,IF('DDR3 Config'!$G$1=3,'DDR3 Spec'!Z31,IF('DDR3 Config'!$G$1=4,'DDR3 Spec'!AK31,'DDR3 Spec'!AV31))))</f>
        <v>6</v>
      </c>
      <c r="E70" s="54">
        <f>IF('DDR3 Config'!$G$1=1,'DDR3 Spec'!E31,IF('DDR3 Config'!$G$1=2,'DDR3 Spec'!P31,IF('DDR3 Config'!$G$1=3,'DDR3 Spec'!AA31,IF('DDR3 Config'!$G$1=4,'DDR3 Spec'!AL31,'DDR3 Spec'!AW31))))</f>
        <v>6</v>
      </c>
      <c r="F70" s="54">
        <f>IF('DDR3 Config'!$G$1=1,'DDR3 Spec'!F31,IF('DDR3 Config'!$G$1=2,'DDR3 Spec'!Q31,IF('DDR3 Config'!$G$1=3,'DDR3 Spec'!AB31,IF('DDR3 Config'!$G$1=4,'DDR3 Spec'!AM31,'DDR3 Spec'!AX31))))</f>
        <v>6</v>
      </c>
      <c r="G70" s="54">
        <f>IF('DDR3 Config'!$G$1=1,'DDR3 Spec'!G31,IF('DDR3 Config'!$G$1=2,'DDR3 Spec'!R31,IF('DDR3 Config'!$G$1=3,'DDR3 Spec'!AC31,IF('DDR3 Config'!$G$1=4,'DDR3 Spec'!AN31,'DDR3 Spec'!AY31))))</f>
        <v>5</v>
      </c>
      <c r="H70" s="54">
        <f>IF('DDR3 Config'!$G$1=1,'DDR3 Spec'!H31,IF('DDR3 Config'!$G$1=2,'DDR3 Spec'!S31,IF('DDR3 Config'!$G$1=3,'DDR3 Spec'!AD31,IF('DDR3 Config'!$G$1=4,'DDR3 Spec'!AO31,'DDR3 Spec'!AZ31))))</f>
        <v>6</v>
      </c>
      <c r="I70" s="54">
        <f>IF('DDR3 Config'!$G$1=1,'DDR3 Spec'!I31,IF('DDR3 Config'!$G$1=2,'DDR3 Spec'!T31,IF('DDR3 Config'!$G$1=3,'DDR3 Spec'!AE31,IF('DDR3 Config'!$G$1=4,'DDR3 Spec'!AP31,'DDR3 Spec'!BA31))))</f>
        <v>6</v>
      </c>
      <c r="J70" s="54">
        <f>IF('DDR3 Config'!$G$1=1,'DDR3 Spec'!J31,IF('DDR3 Config'!$G$1=2,'DDR3 Spec'!U31,IF('DDR3 Config'!$G$1=3,'DDR3 Spec'!AF31,IF('DDR3 Config'!$G$1=4,'DDR3 Spec'!AQ31,'DDR3 Spec'!BB31))))</f>
        <v>6</v>
      </c>
      <c r="K70" s="54">
        <f>IF('DDR3 Config'!$G$1=1,'DDR3 Spec'!K31,IF('DDR3 Config'!$G$1=2,'DDR3 Spec'!V31,IF('DDR3 Config'!$G$1=3,'DDR3 Spec'!AG31,IF('DDR3 Config'!$G$1=4,'DDR3 Spec'!AR31,'DDR3 Spec'!BC31))))</f>
        <v>7.5</v>
      </c>
      <c r="L70" s="54">
        <f>IF('DDR3 Config'!$G$1=1,'DDR3 Spec'!L31,IF('DDR3 Config'!$G$1=2,'DDR3 Spec'!W31,IF('DDR3 Config'!$G$1=3,'DDR3 Spec'!AH31,IF('DDR3 Config'!$G$1=4,'DDR3 Spec'!AS31,'DDR3 Spec'!BD31))))</f>
        <v>7.5</v>
      </c>
      <c r="M70" s="54">
        <f>IF('DDR3 Config'!$G$1=1,'DDR3 Spec'!M31,IF('DDR3 Config'!$G$1=2,'DDR3 Spec'!X31,IF('DDR3 Config'!$G$1=3,'DDR3 Spec'!AI31,IF('DDR3 Config'!$G$1=4,'DDR3 Spec'!AT31,'DDR3 Spec'!BE31))))</f>
        <v>10</v>
      </c>
      <c r="N70" s="54"/>
      <c r="O70" s="54"/>
      <c r="P70" s="54"/>
      <c r="Q70" s="54"/>
      <c r="R70" s="54"/>
      <c r="S70" s="54"/>
      <c r="T70" s="54"/>
      <c r="U70" s="54"/>
      <c r="V70" s="54"/>
      <c r="W70" s="54">
        <f>HLOOKUP($W$43,$D$43:$M$77,28)</f>
        <v>5</v>
      </c>
      <c r="X70" s="54"/>
      <c r="Y70" s="54"/>
      <c r="Z70" s="54"/>
      <c r="AA70" s="54"/>
      <c r="AB70" s="54"/>
      <c r="AC70" s="54"/>
      <c r="AD70" s="54"/>
      <c r="AE70" s="54"/>
      <c r="AF70" s="54"/>
      <c r="AG70" s="54"/>
      <c r="AH70" s="54"/>
      <c r="AI70" s="54"/>
      <c r="AJ70" s="54"/>
      <c r="AK70" s="34"/>
    </row>
    <row r="71" spans="1:37" ht="24" hidden="1" customHeight="1">
      <c r="A71" s="56"/>
      <c r="B71" s="57"/>
      <c r="C71" s="273"/>
      <c r="D71" s="54">
        <f>IF('DDR3 Config'!$G$1=1,'DDR3 Spec'!D32,IF('DDR3 Config'!$G$1=2,'DDR3 Spec'!O32,IF('DDR3 Config'!$G$1=3,'DDR3 Spec'!Z32,IF('DDR3 Config'!$G$1=4,'DDR3 Spec'!AK32,'DDR3 Spec'!AV32))))</f>
        <v>7.5</v>
      </c>
      <c r="E71" s="54">
        <f>IF('DDR3 Config'!$G$1=1,'DDR3 Spec'!E32,IF('DDR3 Config'!$G$1=2,'DDR3 Spec'!P32,IF('DDR3 Config'!$G$1=3,'DDR3 Spec'!AA32,IF('DDR3 Config'!$G$1=4,'DDR3 Spec'!AL32,'DDR3 Spec'!AW32))))</f>
        <v>7.5</v>
      </c>
      <c r="F71" s="54">
        <f>IF('DDR3 Config'!$G$1=1,'DDR3 Spec'!F32,IF('DDR3 Config'!$G$1=2,'DDR3 Spec'!Q32,IF('DDR3 Config'!$G$1=3,'DDR3 Spec'!AB32,IF('DDR3 Config'!$G$1=4,'DDR3 Spec'!AM32,'DDR3 Spec'!AX32))))</f>
        <v>7.5</v>
      </c>
      <c r="G71" s="54">
        <f>IF('DDR3 Config'!$G$1=1,'DDR3 Spec'!G32,IF('DDR3 Config'!$G$1=2,'DDR3 Spec'!R32,IF('DDR3 Config'!$G$1=3,'DDR3 Spec'!AC32,IF('DDR3 Config'!$G$1=4,'DDR3 Spec'!AN32,'DDR3 Spec'!AY32))))</f>
        <v>6</v>
      </c>
      <c r="H71" s="54">
        <f>IF('DDR3 Config'!$G$1=1,'DDR3 Spec'!H32,IF('DDR3 Config'!$G$1=2,'DDR3 Spec'!S32,IF('DDR3 Config'!$G$1=3,'DDR3 Spec'!AD32,IF('DDR3 Config'!$G$1=4,'DDR3 Spec'!AO32,'DDR3 Spec'!AZ32))))</f>
        <v>7.5</v>
      </c>
      <c r="I71" s="54">
        <f>IF('DDR3 Config'!$G$1=1,'DDR3 Spec'!I32,IF('DDR3 Config'!$G$1=2,'DDR3 Spec'!T32,IF('DDR3 Config'!$G$1=3,'DDR3 Spec'!AE32,IF('DDR3 Config'!$G$1=4,'DDR3 Spec'!AP32,'DDR3 Spec'!BA32))))</f>
        <v>7.5</v>
      </c>
      <c r="J71" s="54">
        <f>IF('DDR3 Config'!$G$1=1,'DDR3 Spec'!J32,IF('DDR3 Config'!$G$1=2,'DDR3 Spec'!U32,IF('DDR3 Config'!$G$1=3,'DDR3 Spec'!AF32,IF('DDR3 Config'!$G$1=4,'DDR3 Spec'!AQ32,'DDR3 Spec'!BB32))))</f>
        <v>7.5</v>
      </c>
      <c r="K71" s="54">
        <f>IF('DDR3 Config'!$G$1=1,'DDR3 Spec'!K32,IF('DDR3 Config'!$G$1=2,'DDR3 Spec'!V32,IF('DDR3 Config'!$G$1=3,'DDR3 Spec'!AG32,IF('DDR3 Config'!$G$1=4,'DDR3 Spec'!AR32,'DDR3 Spec'!BC32))))</f>
        <v>10</v>
      </c>
      <c r="L71" s="54">
        <f>IF('DDR3 Config'!$G$1=1,'DDR3 Spec'!L32,IF('DDR3 Config'!$G$1=2,'DDR3 Spec'!W32,IF('DDR3 Config'!$G$1=3,'DDR3 Spec'!AH32,IF('DDR3 Config'!$G$1=4,'DDR3 Spec'!AS32,'DDR3 Spec'!BD32))))</f>
        <v>10</v>
      </c>
      <c r="M71" s="54">
        <f>IF('DDR3 Config'!$G$1=1,'DDR3 Spec'!M32,IF('DDR3 Config'!$G$1=2,'DDR3 Spec'!X32,IF('DDR3 Config'!$G$1=3,'DDR3 Spec'!AI32,IF('DDR3 Config'!$G$1=4,'DDR3 Spec'!AT32,'DDR3 Spec'!BE32))))</f>
        <v>10</v>
      </c>
      <c r="N71" s="54"/>
      <c r="O71" s="54"/>
      <c r="P71" s="54"/>
      <c r="Q71" s="54"/>
      <c r="R71" s="54"/>
      <c r="S71" s="54"/>
      <c r="T71" s="54"/>
      <c r="U71" s="54"/>
      <c r="V71" s="54"/>
      <c r="W71" s="54">
        <f>HLOOKUP($W$43,$D$43:$M$77,29)</f>
        <v>6</v>
      </c>
      <c r="X71" s="54"/>
      <c r="Y71" s="54"/>
      <c r="Z71" s="54"/>
      <c r="AA71" s="54"/>
      <c r="AB71" s="54"/>
      <c r="AC71" s="54"/>
      <c r="AD71" s="54"/>
      <c r="AE71" s="54"/>
      <c r="AF71" s="54"/>
      <c r="AG71" s="54"/>
      <c r="AH71" s="54"/>
      <c r="AI71" s="54"/>
      <c r="AJ71" s="54"/>
      <c r="AK71" s="34"/>
    </row>
    <row r="72" spans="1:37" ht="24" hidden="1" customHeight="1">
      <c r="A72" s="56"/>
      <c r="B72" s="57"/>
      <c r="C72" s="76" t="s">
        <v>190</v>
      </c>
      <c r="D72" s="54">
        <f>IF('DDR3 Config'!$G$1=1,'DDR3 Spec'!D33,IF('DDR3 Config'!$G$1=2,'DDR3 Spec'!O33,IF('DDR3 Config'!$G$1=3,'DDR3 Spec'!Z33,IF('DDR3 Config'!$G$1=4,'DDR3 Spec'!AK33,'DDR3 Spec'!AV33))))</f>
        <v>45.155000000000001</v>
      </c>
      <c r="E72" s="54">
        <f>IF('DDR3 Config'!$G$1=1,'DDR3 Spec'!E33,IF('DDR3 Config'!$G$1=2,'DDR3 Spec'!P33,IF('DDR3 Config'!$G$1=3,'DDR3 Spec'!AA33,IF('DDR3 Config'!$G$1=4,'DDR3 Spec'!AL33,'DDR3 Spec'!AW33))))</f>
        <v>46.09</v>
      </c>
      <c r="F72" s="54">
        <f>IF('DDR3 Config'!$G$1=1,'DDR3 Spec'!F33,IF('DDR3 Config'!$G$1=2,'DDR3 Spec'!Q33,IF('DDR3 Config'!$G$1=3,'DDR3 Spec'!AB33,IF('DDR3 Config'!$G$1=4,'DDR3 Spec'!AM33,'DDR3 Spec'!AX33))))</f>
        <v>46.84</v>
      </c>
      <c r="G72" s="54">
        <f>IF('DDR3 Config'!$G$1=1,'DDR3 Spec'!G33,IF('DDR3 Config'!$G$1=2,'DDR3 Spec'!R33,IF('DDR3 Config'!$G$1=3,'DDR3 Spec'!AC33,IF('DDR3 Config'!$G$1=4,'DDR3 Spec'!AN33,'DDR3 Spec'!AY33))))</f>
        <v>45</v>
      </c>
      <c r="H72" s="54">
        <f>IF('DDR3 Config'!$G$1=1,'DDR3 Spec'!H33,IF('DDR3 Config'!$G$1=2,'DDR3 Spec'!S33,IF('DDR3 Config'!$G$1=3,'DDR3 Spec'!AD33,IF('DDR3 Config'!$G$1=4,'DDR3 Spec'!AO33,'DDR3 Spec'!AZ33))))</f>
        <v>47.5</v>
      </c>
      <c r="I72" s="54">
        <f>IF('DDR3 Config'!$G$1=1,'DDR3 Spec'!I33,IF('DDR3 Config'!$G$1=2,'DDR3 Spec'!T33,IF('DDR3 Config'!$G$1=3,'DDR3 Spec'!AE33,IF('DDR3 Config'!$G$1=4,'DDR3 Spec'!AP33,'DDR3 Spec'!BA33))))</f>
        <v>48.75</v>
      </c>
      <c r="J72" s="54">
        <f>IF('DDR3 Config'!$G$1=1,'DDR3 Spec'!J33,IF('DDR3 Config'!$G$1=2,'DDR3 Spec'!U33,IF('DDR3 Config'!$G$1=3,'DDR3 Spec'!AF33,IF('DDR3 Config'!$G$1=4,'DDR3 Spec'!AQ33,'DDR3 Spec'!BB33))))</f>
        <v>49.5</v>
      </c>
      <c r="K72" s="54">
        <f>IF('DDR3 Config'!$G$1=1,'DDR3 Spec'!K33,IF('DDR3 Config'!$G$1=2,'DDR3 Spec'!V33,IF('DDR3 Config'!$G$1=3,'DDR3 Spec'!AG33,IF('DDR3 Config'!$G$1=4,'DDR3 Spec'!AR33,'DDR3 Spec'!BC33))))</f>
        <v>50.625</v>
      </c>
      <c r="L72" s="54">
        <f>IF('DDR3 Config'!$G$1=1,'DDR3 Spec'!L33,IF('DDR3 Config'!$G$1=2,'DDR3 Spec'!W33,IF('DDR3 Config'!$G$1=3,'DDR3 Spec'!AH33,IF('DDR3 Config'!$G$1=4,'DDR3 Spec'!AS33,'DDR3 Spec'!BD33))))</f>
        <v>52.5</v>
      </c>
      <c r="M72" s="54">
        <f>IF('DDR3 Config'!$G$1=1,'DDR3 Spec'!M33,IF('DDR3 Config'!$G$1=2,'DDR3 Spec'!X33,IF('DDR3 Config'!$G$1=3,'DDR3 Spec'!AI33,IF('DDR3 Config'!$G$1=4,'DDR3 Spec'!AT33,'DDR3 Spec'!BE33))))</f>
        <v>52.5</v>
      </c>
      <c r="N72" s="54"/>
      <c r="O72" s="54"/>
      <c r="P72" s="54"/>
      <c r="Q72" s="54"/>
      <c r="R72" s="54"/>
      <c r="S72" s="54"/>
      <c r="T72" s="54"/>
      <c r="U72" s="54"/>
      <c r="V72" s="54"/>
      <c r="W72" s="54">
        <f>HLOOKUP($W$43,$D$43:$M$77,30)</f>
        <v>45</v>
      </c>
      <c r="X72" s="54"/>
      <c r="Y72" s="54"/>
      <c r="Z72" s="54"/>
      <c r="AA72" s="54"/>
      <c r="AB72" s="54"/>
      <c r="AC72" s="54"/>
      <c r="AD72" s="54"/>
      <c r="AE72" s="54"/>
      <c r="AF72" s="54"/>
      <c r="AG72" s="54"/>
      <c r="AH72" s="54"/>
      <c r="AI72" s="54"/>
      <c r="AJ72" s="54"/>
      <c r="AK72" s="34"/>
    </row>
    <row r="73" spans="1:37" ht="24" hidden="1" customHeight="1">
      <c r="A73" s="56"/>
      <c r="B73" s="57"/>
      <c r="C73" s="76" t="s">
        <v>191</v>
      </c>
      <c r="D73" s="54">
        <f>IF('DDR3 Config'!$G$1=1,'DDR3 Spec'!D34,IF('DDR3 Config'!$G$1=2,'DDR3 Spec'!O34,IF('DDR3 Config'!$G$1=3,'DDR3 Spec'!Z34,IF('DDR3 Config'!$G$1=4,'DDR3 Spec'!AK34,'DDR3 Spec'!AV34))))</f>
        <v>36</v>
      </c>
      <c r="E73" s="54">
        <f>IF('DDR3 Config'!$G$1=1,'DDR3 Spec'!E34,IF('DDR3 Config'!$G$1=2,'DDR3 Spec'!P34,IF('DDR3 Config'!$G$1=3,'DDR3 Spec'!AA34,IF('DDR3 Config'!$G$1=4,'DDR3 Spec'!AL34,'DDR3 Spec'!AW34))))</f>
        <v>36</v>
      </c>
      <c r="F73" s="54">
        <f>IF('DDR3 Config'!$G$1=1,'DDR3 Spec'!F34,IF('DDR3 Config'!$G$1=2,'DDR3 Spec'!Q34,IF('DDR3 Config'!$G$1=3,'DDR3 Spec'!AB34,IF('DDR3 Config'!$G$1=4,'DDR3 Spec'!AM34,'DDR3 Spec'!AX34))))</f>
        <v>34</v>
      </c>
      <c r="G73" s="54">
        <f>IF('DDR3 Config'!$G$1=1,'DDR3 Spec'!G34,IF('DDR3 Config'!$G$1=2,'DDR3 Spec'!R34,IF('DDR3 Config'!$G$1=3,'DDR3 Spec'!AC34,IF('DDR3 Config'!$G$1=4,'DDR3 Spec'!AN34,'DDR3 Spec'!AY34))))</f>
        <v>32</v>
      </c>
      <c r="H73" s="54">
        <f>IF('DDR3 Config'!$G$1=1,'DDR3 Spec'!H34,IF('DDR3 Config'!$G$1=2,'DDR3 Spec'!S34,IF('DDR3 Config'!$G$1=3,'DDR3 Spec'!AD34,IF('DDR3 Config'!$G$1=4,'DDR3 Spec'!AO34,'DDR3 Spec'!AZ34))))</f>
        <v>35</v>
      </c>
      <c r="I73" s="54">
        <f>IF('DDR3 Config'!$G$1=1,'DDR3 Spec'!I34,IF('DDR3 Config'!$G$1=2,'DDR3 Spec'!T34,IF('DDR3 Config'!$G$1=3,'DDR3 Spec'!AE34,IF('DDR3 Config'!$G$1=4,'DDR3 Spec'!AP34,'DDR3 Spec'!BA34))))</f>
        <v>35</v>
      </c>
      <c r="J73" s="54">
        <f>IF('DDR3 Config'!$G$1=1,'DDR3 Spec'!J34,IF('DDR3 Config'!$G$1=2,'DDR3 Spec'!U34,IF('DDR3 Config'!$G$1=3,'DDR3 Spec'!AF34,IF('DDR3 Config'!$G$1=4,'DDR3 Spec'!AQ34,'DDR3 Spec'!BB34))))</f>
        <v>36</v>
      </c>
      <c r="K73" s="54">
        <f>IF('DDR3 Config'!$G$1=1,'DDR3 Spec'!K34,IF('DDR3 Config'!$G$1=2,'DDR3 Spec'!V34,IF('DDR3 Config'!$G$1=3,'DDR3 Spec'!AG34,IF('DDR3 Config'!$G$1=4,'DDR3 Spec'!AR34,'DDR3 Spec'!BC34))))</f>
        <v>37.5</v>
      </c>
      <c r="L73" s="54">
        <f>IF('DDR3 Config'!$G$1=1,'DDR3 Spec'!L34,IF('DDR3 Config'!$G$1=2,'DDR3 Spec'!W34,IF('DDR3 Config'!$G$1=3,'DDR3 Spec'!AH34,IF('DDR3 Config'!$G$1=4,'DDR3 Spec'!AS34,'DDR3 Spec'!BD34))))</f>
        <v>37.5</v>
      </c>
      <c r="M73" s="54">
        <f>IF('DDR3 Config'!$G$1=1,'DDR3 Spec'!M34,IF('DDR3 Config'!$G$1=2,'DDR3 Spec'!X34,IF('DDR3 Config'!$G$1=3,'DDR3 Spec'!AI34,IF('DDR3 Config'!$G$1=4,'DDR3 Spec'!AT34,'DDR3 Spec'!BE34))))</f>
        <v>37.5</v>
      </c>
      <c r="N73" s="54"/>
      <c r="O73" s="54"/>
      <c r="P73" s="54"/>
      <c r="Q73" s="54"/>
      <c r="R73" s="54"/>
      <c r="S73" s="54"/>
      <c r="T73" s="54"/>
      <c r="U73" s="54"/>
      <c r="V73" s="54"/>
      <c r="W73" s="54">
        <f>HLOOKUP($W$43,$D$43:$M$77,31)</f>
        <v>32</v>
      </c>
      <c r="X73" s="54"/>
      <c r="Y73" s="54"/>
      <c r="Z73" s="54"/>
      <c r="AA73" s="54"/>
      <c r="AB73" s="54"/>
      <c r="AC73" s="54"/>
      <c r="AD73" s="54"/>
      <c r="AE73" s="54"/>
      <c r="AF73" s="54"/>
      <c r="AG73" s="54"/>
      <c r="AH73" s="54"/>
      <c r="AI73" s="54"/>
      <c r="AJ73" s="54"/>
      <c r="AK73" s="34"/>
    </row>
    <row r="74" spans="1:37" ht="24" hidden="1" customHeight="1">
      <c r="A74" s="56"/>
      <c r="B74" s="57"/>
      <c r="C74" s="76" t="s">
        <v>193</v>
      </c>
      <c r="D74" s="54">
        <f>IF('DDR3 Config'!$G$1=1,'DDR3 Spec'!D35,IF('DDR3 Config'!$G$1=2,'DDR3 Spec'!O35,IF('DDR3 Config'!$G$1=3,'DDR3 Spec'!Z35,IF('DDR3 Config'!$G$1=4,'DDR3 Spec'!AK35,'DDR3 Spec'!AV35))))</f>
        <v>260</v>
      </c>
      <c r="E74" s="54">
        <f>IF('DDR3 Config'!$G$1=1,'DDR3 Spec'!E35,IF('DDR3 Config'!$G$1=2,'DDR3 Spec'!P35,IF('DDR3 Config'!$G$1=3,'DDR3 Spec'!AA35,IF('DDR3 Config'!$G$1=4,'DDR3 Spec'!AL35,'DDR3 Spec'!AW35))))</f>
        <v>260</v>
      </c>
      <c r="F74" s="54">
        <f>IF('DDR3 Config'!$G$1=1,'DDR3 Spec'!F35,IF('DDR3 Config'!$G$1=2,'DDR3 Spec'!Q35,IF('DDR3 Config'!$G$1=3,'DDR3 Spec'!AB35,IF('DDR3 Config'!$G$1=4,'DDR3 Spec'!AM35,'DDR3 Spec'!AX35))))</f>
        <v>260</v>
      </c>
      <c r="G74" s="54">
        <f>IF('DDR3 Config'!$G$1=1,'DDR3 Spec'!G35,IF('DDR3 Config'!$G$1=2,'DDR3 Spec'!R35,IF('DDR3 Config'!$G$1=3,'DDR3 Spec'!AC35,IF('DDR3 Config'!$G$1=4,'DDR3 Spec'!AN35,'DDR3 Spec'!AY35))))</f>
        <v>243</v>
      </c>
      <c r="H74" s="54">
        <f>IF('DDR3 Config'!$G$1=1,'DDR3 Spec'!H35,IF('DDR3 Config'!$G$1=2,'DDR3 Spec'!S35,IF('DDR3 Config'!$G$1=3,'DDR3 Spec'!AD35,IF('DDR3 Config'!$G$1=4,'DDR3 Spec'!AO35,'DDR3 Spec'!AZ35))))</f>
        <v>260</v>
      </c>
      <c r="I74" s="54">
        <f>IF('DDR3 Config'!$G$1=1,'DDR3 Spec'!I35,IF('DDR3 Config'!$G$1=2,'DDR3 Spec'!T35,IF('DDR3 Config'!$G$1=3,'DDR3 Spec'!AE35,IF('DDR3 Config'!$G$1=4,'DDR3 Spec'!AP35,'DDR3 Spec'!BA35))))</f>
        <v>260</v>
      </c>
      <c r="J74" s="54">
        <f>IF('DDR3 Config'!$G$1=1,'DDR3 Spec'!J35,IF('DDR3 Config'!$G$1=2,'DDR3 Spec'!U35,IF('DDR3 Config'!$G$1=3,'DDR3 Spec'!AF35,IF('DDR3 Config'!$G$1=4,'DDR3 Spec'!AQ35,'DDR3 Spec'!BB35))))</f>
        <v>260</v>
      </c>
      <c r="K74" s="54">
        <f>IF('DDR3 Config'!$G$1=1,'DDR3 Spec'!K35,IF('DDR3 Config'!$G$1=2,'DDR3 Spec'!V35,IF('DDR3 Config'!$G$1=3,'DDR3 Spec'!AG35,IF('DDR3 Config'!$G$1=4,'DDR3 Spec'!AR35,'DDR3 Spec'!BC35))))</f>
        <v>260</v>
      </c>
      <c r="L74" s="54">
        <f>IF('DDR3 Config'!$G$1=1,'DDR3 Spec'!L35,IF('DDR3 Config'!$G$1=2,'DDR3 Spec'!W35,IF('DDR3 Config'!$G$1=3,'DDR3 Spec'!AH35,IF('DDR3 Config'!$G$1=4,'DDR3 Spec'!AS35,'DDR3 Spec'!BD35))))</f>
        <v>260</v>
      </c>
      <c r="M74" s="54">
        <f>IF('DDR3 Config'!$G$1=1,'DDR3 Spec'!M35,IF('DDR3 Config'!$G$1=2,'DDR3 Spec'!X35,IF('DDR3 Config'!$G$1=3,'DDR3 Spec'!AI35,IF('DDR3 Config'!$G$1=4,'DDR3 Spec'!AT35,'DDR3 Spec'!BE35))))</f>
        <v>260</v>
      </c>
      <c r="N74" s="54"/>
      <c r="O74" s="54"/>
      <c r="P74" s="54"/>
      <c r="Q74" s="54"/>
      <c r="R74" s="54"/>
      <c r="S74" s="54"/>
      <c r="T74" s="54"/>
      <c r="U74" s="54"/>
      <c r="V74" s="54"/>
      <c r="W74" s="54">
        <f>HLOOKUP($W$43,$D$43:$M$77,32)</f>
        <v>243</v>
      </c>
      <c r="X74" s="54"/>
      <c r="Y74" s="54"/>
      <c r="Z74" s="54"/>
      <c r="AA74" s="54"/>
      <c r="AB74" s="54"/>
      <c r="AC74" s="54"/>
      <c r="AD74" s="54"/>
      <c r="AE74" s="54"/>
      <c r="AF74" s="54"/>
      <c r="AG74" s="54"/>
      <c r="AH74" s="54"/>
      <c r="AI74" s="54"/>
      <c r="AJ74" s="54"/>
      <c r="AK74" s="34"/>
    </row>
    <row r="75" spans="1:37" ht="24" hidden="1" customHeight="1">
      <c r="A75" s="56"/>
      <c r="B75" s="57"/>
      <c r="C75" s="76" t="s">
        <v>194</v>
      </c>
      <c r="D75" s="54">
        <f>IF('DDR3 Config'!$G$1=1,'DDR3 Spec'!D36,IF('DDR3 Config'!$G$1=2,'DDR3 Spec'!O36,IF('DDR3 Config'!$G$1=3,'DDR3 Spec'!Z36,IF('DDR3 Config'!$G$1=4,'DDR3 Spec'!AK36,'DDR3 Spec'!AV36))))</f>
        <v>7.8</v>
      </c>
      <c r="E75" s="54">
        <f>IF('DDR3 Config'!$G$1=1,'DDR3 Spec'!E36,IF('DDR3 Config'!$G$1=2,'DDR3 Spec'!P36,IF('DDR3 Config'!$G$1=3,'DDR3 Spec'!AA36,IF('DDR3 Config'!$G$1=4,'DDR3 Spec'!AL36,'DDR3 Spec'!AW36))))</f>
        <v>7.8</v>
      </c>
      <c r="F75" s="54">
        <f>IF('DDR3 Config'!$G$1=1,'DDR3 Spec'!F36,IF('DDR3 Config'!$G$1=2,'DDR3 Spec'!Q36,IF('DDR3 Config'!$G$1=3,'DDR3 Spec'!AB36,IF('DDR3 Config'!$G$1=4,'DDR3 Spec'!AM36,'DDR3 Spec'!AX36))))</f>
        <v>7.8</v>
      </c>
      <c r="G75" s="54">
        <f>IF('DDR3 Config'!$G$1=1,'DDR3 Spec'!G36,IF('DDR3 Config'!$G$1=2,'DDR3 Spec'!R36,IF('DDR3 Config'!$G$1=3,'DDR3 Spec'!AC36,IF('DDR3 Config'!$G$1=4,'DDR3 Spec'!AN36,'DDR3 Spec'!AY36))))</f>
        <v>7.8</v>
      </c>
      <c r="H75" s="54">
        <f>IF('DDR3 Config'!$G$1=1,'DDR3 Spec'!H36,IF('DDR3 Config'!$G$1=2,'DDR3 Spec'!S36,IF('DDR3 Config'!$G$1=3,'DDR3 Spec'!AD36,IF('DDR3 Config'!$G$1=4,'DDR3 Spec'!AO36,'DDR3 Spec'!AZ36))))</f>
        <v>7.8</v>
      </c>
      <c r="I75" s="54">
        <f>IF('DDR3 Config'!$G$1=1,'DDR3 Spec'!I36,IF('DDR3 Config'!$G$1=2,'DDR3 Spec'!T36,IF('DDR3 Config'!$G$1=3,'DDR3 Spec'!AE36,IF('DDR3 Config'!$G$1=4,'DDR3 Spec'!AP36,'DDR3 Spec'!BA36))))</f>
        <v>7.8</v>
      </c>
      <c r="J75" s="54">
        <f>IF('DDR3 Config'!$G$1=1,'DDR3 Spec'!J36,IF('DDR3 Config'!$G$1=2,'DDR3 Spec'!U36,IF('DDR3 Config'!$G$1=3,'DDR3 Spec'!AF36,IF('DDR3 Config'!$G$1=4,'DDR3 Spec'!AQ36,'DDR3 Spec'!BB36))))</f>
        <v>7.8</v>
      </c>
      <c r="K75" s="54">
        <f>IF('DDR3 Config'!$G$1=1,'DDR3 Spec'!K36,IF('DDR3 Config'!$G$1=2,'DDR3 Spec'!V36,IF('DDR3 Config'!$G$1=3,'DDR3 Spec'!AG36,IF('DDR3 Config'!$G$1=4,'DDR3 Spec'!AR36,'DDR3 Spec'!BC36))))</f>
        <v>7.8</v>
      </c>
      <c r="L75" s="54">
        <f>IF('DDR3 Config'!$G$1=1,'DDR3 Spec'!L36,IF('DDR3 Config'!$G$1=2,'DDR3 Spec'!W36,IF('DDR3 Config'!$G$1=3,'DDR3 Spec'!AH36,IF('DDR3 Config'!$G$1=4,'DDR3 Spec'!AS36,'DDR3 Spec'!BD36))))</f>
        <v>7.8</v>
      </c>
      <c r="M75" s="54">
        <f>IF('DDR3 Config'!$G$1=1,'DDR3 Spec'!M36,IF('DDR3 Config'!$G$1=2,'DDR3 Spec'!X36,IF('DDR3 Config'!$G$1=3,'DDR3 Spec'!AI36,IF('DDR3 Config'!$G$1=4,'DDR3 Spec'!AT36,'DDR3 Spec'!BE36))))</f>
        <v>7.8</v>
      </c>
      <c r="N75" s="54"/>
      <c r="O75" s="54"/>
      <c r="P75" s="54"/>
      <c r="Q75" s="54"/>
      <c r="R75" s="54"/>
      <c r="S75" s="54"/>
      <c r="T75" s="54"/>
      <c r="U75" s="54"/>
      <c r="V75" s="54"/>
      <c r="W75" s="54">
        <f>HLOOKUP($W$43,$D$43:$M$77,33)</f>
        <v>7.8</v>
      </c>
      <c r="X75" s="54"/>
      <c r="Y75" s="54"/>
      <c r="Z75" s="54"/>
      <c r="AA75" s="54"/>
      <c r="AB75" s="54"/>
      <c r="AC75" s="54"/>
      <c r="AD75" s="54"/>
      <c r="AE75" s="54"/>
      <c r="AF75" s="54"/>
      <c r="AG75" s="54"/>
      <c r="AH75" s="54"/>
      <c r="AI75" s="54"/>
      <c r="AJ75" s="54"/>
      <c r="AK75" s="34"/>
    </row>
    <row r="76" spans="1:37" ht="24" hidden="1" customHeight="1">
      <c r="A76" s="56"/>
      <c r="B76" s="57"/>
      <c r="C76" s="76" t="s">
        <v>195</v>
      </c>
      <c r="D76" s="54">
        <f>IF('DDR3 Config'!$G$1=1,'DDR3 Spec'!D37,IF('DDR3 Config'!$G$1=2,'DDR3 Spec'!O37,IF('DDR3 Config'!$G$1=3,'DDR3 Spec'!Z37,IF('DDR3 Config'!$G$1=4,'DDR3 Spec'!AK37,'DDR3 Spec'!AV37))))</f>
        <v>0.93799999999999994</v>
      </c>
      <c r="E76" s="54">
        <f>IF('DDR3 Config'!$G$1=1,'DDR3 Spec'!E37,IF('DDR3 Config'!$G$1=2,'DDR3 Spec'!P37,IF('DDR3 Config'!$G$1=3,'DDR3 Spec'!AA37,IF('DDR3 Config'!$G$1=4,'DDR3 Spec'!AL37,'DDR3 Spec'!AW37))))</f>
        <v>0.93799999999999994</v>
      </c>
      <c r="F76" s="54">
        <f>IF('DDR3 Config'!$G$1=1,'DDR3 Spec'!F37,IF('DDR3 Config'!$G$1=2,'DDR3 Spec'!Q37,IF('DDR3 Config'!$G$1=3,'DDR3 Spec'!AB37,IF('DDR3 Config'!$G$1=4,'DDR3 Spec'!AM37,'DDR3 Spec'!AX37))))</f>
        <v>1.07</v>
      </c>
      <c r="G76" s="54">
        <f>IF('DDR3 Config'!$G$1=1,'DDR3 Spec'!G37,IF('DDR3 Config'!$G$1=2,'DDR3 Spec'!R37,IF('DDR3 Config'!$G$1=3,'DDR3 Spec'!AC37,IF('DDR3 Config'!$G$1=4,'DDR3 Spec'!AN37,'DDR3 Spec'!AY37))))</f>
        <v>1.07</v>
      </c>
      <c r="H76" s="54">
        <f>IF('DDR3 Config'!$G$1=1,'DDR3 Spec'!H37,IF('DDR3 Config'!$G$1=2,'DDR3 Spec'!S37,IF('DDR3 Config'!$G$1=3,'DDR3 Spec'!AD37,IF('DDR3 Config'!$G$1=4,'DDR3 Spec'!AO37,'DDR3 Spec'!AZ37))))</f>
        <v>1.25</v>
      </c>
      <c r="I76" s="54">
        <f>IF('DDR3 Config'!$G$1=1,'DDR3 Spec'!I37,IF('DDR3 Config'!$G$1=2,'DDR3 Spec'!T37,IF('DDR3 Config'!$G$1=3,'DDR3 Spec'!AE37,IF('DDR3 Config'!$G$1=4,'DDR3 Spec'!AP37,'DDR3 Spec'!BA37))))</f>
        <v>1.25</v>
      </c>
      <c r="J76" s="54">
        <f>IF('DDR3 Config'!$G$1=1,'DDR3 Spec'!J37,IF('DDR3 Config'!$G$1=2,'DDR3 Spec'!U37,IF('DDR3 Config'!$G$1=3,'DDR3 Spec'!AF37,IF('DDR3 Config'!$G$1=4,'DDR3 Spec'!AQ37,'DDR3 Spec'!BB37))))</f>
        <v>1.5</v>
      </c>
      <c r="K76" s="54">
        <f>IF('DDR3 Config'!$G$1=1,'DDR3 Spec'!K37,IF('DDR3 Config'!$G$1=2,'DDR3 Spec'!V37,IF('DDR3 Config'!$G$1=3,'DDR3 Spec'!AG37,IF('DDR3 Config'!$G$1=4,'DDR3 Spec'!AR37,'DDR3 Spec'!BC37))))</f>
        <v>1.875</v>
      </c>
      <c r="L76" s="54">
        <f>IF('DDR3 Config'!$G$1=1,'DDR3 Spec'!L37,IF('DDR3 Config'!$G$1=2,'DDR3 Spec'!W37,IF('DDR3 Config'!$G$1=3,'DDR3 Spec'!AH37,IF('DDR3 Config'!$G$1=4,'DDR3 Spec'!AS37,'DDR3 Spec'!BD37))))</f>
        <v>1.875</v>
      </c>
      <c r="M76" s="54">
        <f>IF('DDR3 Config'!$G$1=1,'DDR3 Spec'!M37,IF('DDR3 Config'!$G$1=2,'DDR3 Spec'!X37,IF('DDR3 Config'!$G$1=3,'DDR3 Spec'!AI37,IF('DDR3 Config'!$G$1=4,'DDR3 Spec'!AT37,'DDR3 Spec'!BE37))))</f>
        <v>2.5</v>
      </c>
      <c r="N76" s="54"/>
      <c r="O76" s="54"/>
      <c r="P76" s="54"/>
      <c r="Q76" s="54"/>
      <c r="R76" s="54"/>
      <c r="S76" s="54"/>
      <c r="T76" s="54"/>
      <c r="U76" s="54"/>
      <c r="V76" s="54"/>
      <c r="W76" s="54">
        <f>HLOOKUP($W$43,$D$43:$M$77,34)</f>
        <v>1.07</v>
      </c>
      <c r="X76" s="54"/>
      <c r="Y76" s="54"/>
      <c r="Z76" s="54"/>
      <c r="AA76" s="54"/>
      <c r="AB76" s="54"/>
      <c r="AC76" s="54"/>
      <c r="AD76" s="54"/>
      <c r="AE76" s="54"/>
      <c r="AF76" s="54"/>
      <c r="AG76" s="54"/>
      <c r="AH76" s="54"/>
      <c r="AI76" s="54"/>
      <c r="AJ76" s="54"/>
      <c r="AK76" s="34"/>
    </row>
    <row r="77" spans="1:37" ht="24" hidden="1" customHeight="1">
      <c r="A77" s="56"/>
      <c r="B77" s="57"/>
      <c r="C77" s="76" t="s">
        <v>197</v>
      </c>
      <c r="D77" s="54">
        <f>IF('DDR3 Config'!$G$1=1,'DDR3 Spec'!D38,IF('DDR3 Config'!$G$1=2,'DDR3 Spec'!O38,IF('DDR3 Config'!$G$1=3,'DDR3 Spec'!Z38,IF('DDR3 Config'!$G$1=4,'DDR3 Spec'!AK38,'DDR3 Spec'!AV38))))</f>
        <v>3.3</v>
      </c>
      <c r="E77" s="54">
        <f>IF('DDR3 Config'!$G$1=1,'DDR3 Spec'!E38,IF('DDR3 Config'!$G$1=2,'DDR3 Spec'!P38,IF('DDR3 Config'!$G$1=3,'DDR3 Spec'!AA38,IF('DDR3 Config'!$G$1=4,'DDR3 Spec'!AL38,'DDR3 Spec'!AW38))))</f>
        <v>3.3</v>
      </c>
      <c r="F77" s="54">
        <f>IF('DDR3 Config'!$G$1=1,'DDR3 Spec'!F38,IF('DDR3 Config'!$G$1=2,'DDR3 Spec'!Q38,IF('DDR3 Config'!$G$1=3,'DDR3 Spec'!AB38,IF('DDR3 Config'!$G$1=4,'DDR3 Spec'!AM38,'DDR3 Spec'!AX38))))</f>
        <v>3.3</v>
      </c>
      <c r="G77" s="54">
        <f>IF('DDR3 Config'!$G$1=1,'DDR3 Spec'!G38,IF('DDR3 Config'!$G$1=2,'DDR3 Spec'!R38,IF('DDR3 Config'!$G$1=3,'DDR3 Spec'!AC38,IF('DDR3 Config'!$G$1=4,'DDR3 Spec'!AN38,'DDR3 Spec'!AY38))))</f>
        <v>3.3</v>
      </c>
      <c r="H77" s="54">
        <f>IF('DDR3 Config'!$G$1=1,'DDR3 Spec'!H38,IF('DDR3 Config'!$G$1=2,'DDR3 Spec'!S38,IF('DDR3 Config'!$G$1=3,'DDR3 Spec'!AD38,IF('DDR3 Config'!$G$1=4,'DDR3 Spec'!AO38,'DDR3 Spec'!AZ38))))</f>
        <v>3.3</v>
      </c>
      <c r="I77" s="54">
        <f>IF('DDR3 Config'!$G$1=1,'DDR3 Spec'!I38,IF('DDR3 Config'!$G$1=2,'DDR3 Spec'!T38,IF('DDR3 Config'!$G$1=3,'DDR3 Spec'!AE38,IF('DDR3 Config'!$G$1=4,'DDR3 Spec'!AP38,'DDR3 Spec'!BA38))))</f>
        <v>3.3</v>
      </c>
      <c r="J77" s="54">
        <f>IF('DDR3 Config'!$G$1=1,'DDR3 Spec'!J38,IF('DDR3 Config'!$G$1=2,'DDR3 Spec'!U38,IF('DDR3 Config'!$G$1=3,'DDR3 Spec'!AF38,IF('DDR3 Config'!$G$1=4,'DDR3 Spec'!AQ38,'DDR3 Spec'!BB38))))</f>
        <v>3.3</v>
      </c>
      <c r="K77" s="54">
        <f>IF('DDR3 Config'!$G$1=1,'DDR3 Spec'!K38,IF('DDR3 Config'!$G$1=2,'DDR3 Spec'!V38,IF('DDR3 Config'!$G$1=3,'DDR3 Spec'!AG38,IF('DDR3 Config'!$G$1=4,'DDR3 Spec'!AR38,'DDR3 Spec'!BC38))))</f>
        <v>3.3</v>
      </c>
      <c r="L77" s="54">
        <f>IF('DDR3 Config'!$G$1=1,'DDR3 Spec'!L38,IF('DDR3 Config'!$G$1=2,'DDR3 Spec'!W38,IF('DDR3 Config'!$G$1=3,'DDR3 Spec'!AH38,IF('DDR3 Config'!$G$1=4,'DDR3 Spec'!AS38,'DDR3 Spec'!BD38))))</f>
        <v>3.3</v>
      </c>
      <c r="M77" s="54">
        <f>IF('DDR3 Config'!$G$1=1,'DDR3 Spec'!M38,IF('DDR3 Config'!$G$1=2,'DDR3 Spec'!X38,IF('DDR3 Config'!$G$1=3,'DDR3 Spec'!AI38,IF('DDR3 Config'!$G$1=4,'DDR3 Spec'!AT38,'DDR3 Spec'!BE38))))</f>
        <v>3.3</v>
      </c>
      <c r="N77" s="54"/>
      <c r="O77" s="54"/>
      <c r="P77" s="54"/>
      <c r="Q77" s="54"/>
      <c r="R77" s="54"/>
      <c r="S77" s="54"/>
      <c r="T77" s="54"/>
      <c r="U77" s="54"/>
      <c r="V77" s="54"/>
      <c r="W77" s="54">
        <f>HLOOKUP($W$43,$D$43:$M$77,35)</f>
        <v>3.3</v>
      </c>
      <c r="X77" s="54"/>
      <c r="Y77" s="54"/>
      <c r="Z77" s="54"/>
      <c r="AA77" s="54"/>
      <c r="AB77" s="54"/>
      <c r="AC77" s="54"/>
      <c r="AD77" s="54"/>
      <c r="AE77" s="54"/>
      <c r="AF77" s="54"/>
      <c r="AG77" s="54"/>
      <c r="AH77" s="54"/>
      <c r="AI77" s="54"/>
      <c r="AJ77" s="54"/>
      <c r="AK77" s="34"/>
    </row>
    <row r="78" spans="1:37" ht="24" hidden="1" customHeight="1" thickBot="1">
      <c r="A78" s="56"/>
      <c r="B78" s="57"/>
      <c r="C78" s="56"/>
      <c r="D78" s="56"/>
      <c r="E78" s="54"/>
      <c r="F78" s="54"/>
      <c r="G78" s="54"/>
      <c r="H78" s="54"/>
      <c r="I78" s="54"/>
      <c r="J78" s="54"/>
      <c r="K78" s="54"/>
      <c r="L78" s="54"/>
      <c r="M78" s="54"/>
      <c r="N78" s="54"/>
      <c r="O78" s="54"/>
      <c r="P78" s="54"/>
      <c r="Q78" s="54"/>
      <c r="R78" s="54"/>
      <c r="S78" s="54"/>
      <c r="T78" s="54"/>
      <c r="U78" s="54"/>
      <c r="V78" s="54"/>
      <c r="W78" s="54"/>
      <c r="X78" s="54"/>
      <c r="Y78" s="54"/>
      <c r="Z78" s="54"/>
      <c r="AA78" s="54"/>
      <c r="AB78" s="54"/>
      <c r="AC78" s="54"/>
      <c r="AD78" s="54"/>
      <c r="AE78" s="54"/>
      <c r="AF78" s="54"/>
      <c r="AG78" s="54"/>
      <c r="AH78" s="54"/>
      <c r="AI78" s="54"/>
      <c r="AJ78" s="54"/>
      <c r="AK78" s="34"/>
    </row>
    <row r="79" spans="1:37" ht="24" hidden="1" customHeight="1">
      <c r="A79" s="58" t="s">
        <v>51</v>
      </c>
      <c r="B79" s="59" t="s">
        <v>52</v>
      </c>
      <c r="C79" s="56"/>
      <c r="D79" s="56"/>
      <c r="E79" s="54"/>
      <c r="F79" s="54"/>
      <c r="G79" s="54"/>
      <c r="H79" s="54"/>
      <c r="I79" s="54"/>
      <c r="J79" s="54"/>
      <c r="K79" s="54"/>
      <c r="L79" s="54"/>
      <c r="M79" s="54"/>
      <c r="N79" s="54"/>
      <c r="O79" s="54"/>
      <c r="P79" s="54"/>
      <c r="Q79" s="54"/>
      <c r="R79" s="54"/>
      <c r="S79" s="54"/>
      <c r="T79" s="54"/>
      <c r="U79" s="54"/>
      <c r="V79" s="54"/>
      <c r="W79" s="54"/>
      <c r="X79" s="54"/>
      <c r="Y79" s="54"/>
      <c r="Z79" s="54"/>
      <c r="AA79" s="54"/>
      <c r="AB79" s="54"/>
      <c r="AC79" s="54"/>
      <c r="AD79" s="54"/>
      <c r="AE79" s="54"/>
      <c r="AF79" s="54"/>
      <c r="AG79" s="54"/>
      <c r="AH79" s="54"/>
      <c r="AI79" s="54"/>
      <c r="AJ79" s="54"/>
      <c r="AK79" s="34"/>
    </row>
    <row r="80" spans="1:37" ht="24" hidden="1" customHeight="1">
      <c r="A80" s="49"/>
      <c r="B80" s="50" t="s">
        <v>178</v>
      </c>
      <c r="C80" s="56"/>
      <c r="D80" s="56"/>
      <c r="E80" s="54"/>
      <c r="F80" s="54"/>
      <c r="G80" s="54"/>
      <c r="H80" s="54"/>
      <c r="I80" s="54"/>
      <c r="J80" s="54"/>
      <c r="K80" s="54"/>
      <c r="L80" s="54">
        <f>IF('DDR3 Config'!K12=1,'DDR3 Config'!L8,'DDR3 Config'!L9)</f>
        <v>1.4350000000000001</v>
      </c>
      <c r="M80" s="54"/>
      <c r="N80" s="54"/>
      <c r="O80" s="54"/>
      <c r="P80" s="54"/>
      <c r="Q80" s="54"/>
      <c r="R80" s="54"/>
      <c r="S80" s="54"/>
      <c r="T80" s="54"/>
      <c r="U80" s="54"/>
      <c r="V80" s="54"/>
      <c r="W80" s="54"/>
      <c r="X80" s="54"/>
      <c r="Y80" s="54"/>
      <c r="Z80" s="54"/>
      <c r="AA80" s="54"/>
      <c r="AB80" s="54"/>
      <c r="AC80" s="54"/>
      <c r="AD80" s="54"/>
      <c r="AE80" s="54"/>
      <c r="AF80" s="54"/>
      <c r="AG80" s="54"/>
      <c r="AH80" s="54"/>
      <c r="AI80" s="54"/>
      <c r="AJ80" s="54"/>
      <c r="AK80" s="34"/>
    </row>
    <row r="81" spans="1:37" ht="24" hidden="1" customHeight="1">
      <c r="A81" s="49"/>
      <c r="B81" s="50" t="s">
        <v>179</v>
      </c>
      <c r="C81" s="56"/>
      <c r="D81" s="56"/>
      <c r="E81" s="54"/>
      <c r="F81" s="54"/>
      <c r="G81" s="54"/>
      <c r="H81" s="54"/>
      <c r="I81" s="54"/>
      <c r="J81" s="54"/>
      <c r="K81" s="54"/>
      <c r="L81" s="54">
        <f>IF('DDR3 Config'!K12=1,'DDR3 Config'!M8,'DDR3 Config'!M9)</f>
        <v>1.2829999999999999</v>
      </c>
      <c r="M81" s="54"/>
      <c r="N81" s="54"/>
      <c r="O81" s="54"/>
      <c r="P81" s="54"/>
      <c r="Q81" s="54"/>
      <c r="R81" s="54"/>
      <c r="S81" s="54"/>
      <c r="T81" s="54"/>
      <c r="U81" s="54"/>
      <c r="V81" s="54"/>
      <c r="W81" s="54"/>
      <c r="X81" s="54"/>
      <c r="Y81" s="54"/>
      <c r="Z81" s="54"/>
      <c r="AA81" s="54"/>
      <c r="AB81" s="54"/>
      <c r="AC81" s="54"/>
      <c r="AD81" s="54"/>
      <c r="AE81" s="54"/>
      <c r="AF81" s="54"/>
      <c r="AG81" s="54"/>
      <c r="AH81" s="54"/>
      <c r="AI81" s="54"/>
      <c r="AJ81" s="54"/>
      <c r="AK81" s="34"/>
    </row>
    <row r="82" spans="1:37" ht="24" hidden="1" customHeight="1">
      <c r="A82" s="49"/>
      <c r="B82" s="50"/>
      <c r="C82" s="56"/>
      <c r="D82" s="56"/>
      <c r="E82" s="54"/>
      <c r="F82" s="54"/>
      <c r="G82" s="54"/>
      <c r="H82" s="54"/>
      <c r="I82" s="54"/>
      <c r="J82" s="54"/>
      <c r="K82" s="54"/>
      <c r="L82" s="54"/>
      <c r="M82" s="54"/>
      <c r="N82" s="54"/>
      <c r="O82" s="54"/>
      <c r="P82" s="54"/>
      <c r="Q82" s="54"/>
      <c r="R82" s="54"/>
      <c r="S82" s="54"/>
      <c r="T82" s="54"/>
      <c r="U82" s="54"/>
      <c r="V82" s="54"/>
      <c r="W82" s="54"/>
      <c r="X82" s="54"/>
      <c r="Y82" s="54"/>
      <c r="Z82" s="54"/>
      <c r="AA82" s="54"/>
      <c r="AB82" s="54"/>
      <c r="AC82" s="54"/>
      <c r="AD82" s="54"/>
      <c r="AE82" s="54"/>
      <c r="AF82" s="54"/>
      <c r="AG82" s="54"/>
      <c r="AH82" s="54"/>
      <c r="AI82" s="54"/>
      <c r="AJ82" s="54"/>
      <c r="AK82" s="34"/>
    </row>
    <row r="83" spans="1:37" ht="24" hidden="1" customHeight="1">
      <c r="A83" s="49" t="s">
        <v>163</v>
      </c>
      <c r="B83" s="50" t="s">
        <v>82</v>
      </c>
      <c r="C83" s="56"/>
      <c r="D83" s="56"/>
      <c r="E83" s="54"/>
      <c r="F83" s="54"/>
      <c r="G83" s="54"/>
      <c r="H83" s="54"/>
      <c r="I83" s="54"/>
      <c r="J83" s="54"/>
      <c r="K83" s="54"/>
      <c r="L83" s="54">
        <f>IF('DDR3 Config'!K1=3,'DDR3 Spec'!W48,'DDR3 Spec'!W47)</f>
        <v>73</v>
      </c>
      <c r="M83" s="54"/>
      <c r="N83" s="54"/>
      <c r="O83" s="54"/>
      <c r="P83" s="54"/>
      <c r="Q83" s="54"/>
      <c r="R83" s="54"/>
      <c r="S83" s="54"/>
      <c r="T83" s="54"/>
      <c r="U83" s="54"/>
      <c r="V83" s="54"/>
      <c r="W83" s="54"/>
      <c r="X83" s="54"/>
      <c r="Y83" s="54"/>
      <c r="Z83" s="54"/>
      <c r="AA83" s="54"/>
      <c r="AB83" s="54"/>
      <c r="AC83" s="54"/>
      <c r="AD83" s="54"/>
      <c r="AE83" s="54"/>
      <c r="AF83" s="54"/>
      <c r="AG83" s="54"/>
      <c r="AH83" s="54"/>
      <c r="AI83" s="54"/>
      <c r="AJ83" s="54"/>
      <c r="AK83" s="34"/>
    </row>
    <row r="84" spans="1:37" ht="24" hidden="1" customHeight="1">
      <c r="A84" s="49" t="s">
        <v>164</v>
      </c>
      <c r="B84" s="50" t="s">
        <v>20</v>
      </c>
      <c r="C84" s="56"/>
      <c r="D84" s="56"/>
      <c r="E84" s="54"/>
      <c r="F84" s="54"/>
      <c r="G84" s="54"/>
      <c r="H84" s="54"/>
      <c r="I84" s="54"/>
      <c r="J84" s="54"/>
      <c r="K84" s="54"/>
      <c r="L84" s="54">
        <f>IF('DDR3 Config'!I1=2,L87,L86)</f>
        <v>37</v>
      </c>
      <c r="M84" s="54"/>
      <c r="N84" s="54"/>
      <c r="O84" s="54"/>
      <c r="P84" s="54"/>
      <c r="Q84" s="54"/>
      <c r="R84" s="54"/>
      <c r="S84" s="54"/>
      <c r="T84" s="54"/>
      <c r="U84" s="54"/>
      <c r="V84" s="54"/>
      <c r="W84" s="54"/>
      <c r="X84" s="54"/>
      <c r="Y84" s="54"/>
      <c r="Z84" s="54"/>
      <c r="AA84" s="54"/>
      <c r="AB84" s="54"/>
      <c r="AC84" s="54"/>
      <c r="AD84" s="54"/>
      <c r="AE84" s="54"/>
      <c r="AF84" s="54"/>
      <c r="AG84" s="54"/>
      <c r="AH84" s="54"/>
      <c r="AI84" s="54"/>
      <c r="AJ84" s="54"/>
      <c r="AK84" s="34"/>
    </row>
    <row r="85" spans="1:37" ht="24" hidden="1" customHeight="1">
      <c r="A85" s="49" t="s">
        <v>165</v>
      </c>
      <c r="B85" s="50" t="s">
        <v>21</v>
      </c>
      <c r="C85" s="56"/>
      <c r="D85" s="56"/>
      <c r="E85" s="54"/>
      <c r="F85" s="54"/>
      <c r="G85" s="54"/>
      <c r="H85" s="54"/>
      <c r="I85" s="54"/>
      <c r="J85" s="54"/>
      <c r="K85" s="54"/>
      <c r="L85" s="54">
        <f>IF('DDR3 Config'!K1=3,'DDR3 Spec'!W54,'DDR3 Spec'!W53)</f>
        <v>35</v>
      </c>
      <c r="M85" s="54"/>
      <c r="N85" s="54"/>
      <c r="O85" s="54"/>
      <c r="P85" s="54"/>
      <c r="Q85" s="54"/>
      <c r="R85" s="54"/>
      <c r="S85" s="54"/>
      <c r="T85" s="54"/>
      <c r="U85" s="54"/>
      <c r="V85" s="54"/>
      <c r="W85" s="54"/>
      <c r="X85" s="54"/>
      <c r="Y85" s="54"/>
      <c r="Z85" s="54"/>
      <c r="AA85" s="54"/>
      <c r="AB85" s="54"/>
      <c r="AC85" s="54"/>
      <c r="AD85" s="54"/>
      <c r="AE85" s="54"/>
      <c r="AF85" s="54"/>
      <c r="AG85" s="54"/>
      <c r="AH85" s="54"/>
      <c r="AI85" s="54"/>
      <c r="AJ85" s="54"/>
      <c r="AK85" s="34"/>
    </row>
    <row r="86" spans="1:37" ht="24" hidden="1" customHeight="1">
      <c r="A86" s="49"/>
      <c r="B86" s="50"/>
      <c r="C86" s="56"/>
      <c r="D86" s="56"/>
      <c r="E86" s="54"/>
      <c r="F86" s="54"/>
      <c r="G86" s="54"/>
      <c r="H86" s="54"/>
      <c r="I86" s="54"/>
      <c r="J86" s="54"/>
      <c r="K86" s="54"/>
      <c r="L86" s="54">
        <f>IF('DDR3 Config'!K1=3,'DDR3 Spec'!W50,'DDR3 Spec'!W49)</f>
        <v>18</v>
      </c>
      <c r="M86" s="54"/>
      <c r="N86" s="54"/>
      <c r="O86" s="54"/>
      <c r="P86" s="54"/>
      <c r="Q86" s="54"/>
      <c r="R86" s="54"/>
      <c r="S86" s="54"/>
      <c r="T86" s="54"/>
      <c r="U86" s="54"/>
      <c r="V86" s="54"/>
      <c r="W86" s="54"/>
      <c r="X86" s="54"/>
      <c r="Y86" s="54"/>
      <c r="Z86" s="54"/>
      <c r="AA86" s="54"/>
      <c r="AB86" s="54"/>
      <c r="AC86" s="54"/>
      <c r="AD86" s="54"/>
      <c r="AE86" s="54"/>
      <c r="AF86" s="54"/>
      <c r="AG86" s="54"/>
      <c r="AH86" s="54"/>
      <c r="AI86" s="54"/>
      <c r="AJ86" s="54"/>
      <c r="AK86" s="34"/>
    </row>
    <row r="87" spans="1:37" ht="24" hidden="1" customHeight="1">
      <c r="A87" s="49"/>
      <c r="B87" s="50"/>
      <c r="C87" s="56"/>
      <c r="D87" s="56"/>
      <c r="E87" s="54"/>
      <c r="F87" s="54"/>
      <c r="G87" s="54"/>
      <c r="H87" s="54"/>
      <c r="I87" s="54"/>
      <c r="J87" s="54"/>
      <c r="K87" s="54"/>
      <c r="L87" s="54">
        <f>IF('DDR3 Config'!K1=3,'DDR3 Spec'!W52,'DDR3 Spec'!W51)</f>
        <v>37</v>
      </c>
      <c r="M87" s="54"/>
      <c r="N87" s="54"/>
      <c r="O87" s="54"/>
      <c r="P87" s="54"/>
      <c r="Q87" s="54"/>
      <c r="R87" s="54"/>
      <c r="S87" s="54"/>
      <c r="T87" s="54"/>
      <c r="U87" s="54"/>
      <c r="V87" s="54"/>
      <c r="W87" s="54"/>
      <c r="X87" s="54"/>
      <c r="Y87" s="54"/>
      <c r="Z87" s="54"/>
      <c r="AA87" s="54"/>
      <c r="AB87" s="54"/>
      <c r="AC87" s="54"/>
      <c r="AD87" s="54"/>
      <c r="AE87" s="54"/>
      <c r="AF87" s="54"/>
      <c r="AG87" s="54"/>
      <c r="AH87" s="54"/>
      <c r="AI87" s="54"/>
      <c r="AJ87" s="54"/>
      <c r="AK87" s="34"/>
    </row>
    <row r="88" spans="1:37" ht="24" hidden="1" customHeight="1">
      <c r="A88" s="49" t="s">
        <v>166</v>
      </c>
      <c r="B88" s="50" t="s">
        <v>22</v>
      </c>
      <c r="C88" s="56"/>
      <c r="D88" s="56"/>
      <c r="E88" s="54"/>
      <c r="F88" s="54"/>
      <c r="G88" s="54"/>
      <c r="H88" s="54"/>
      <c r="I88" s="54"/>
      <c r="J88" s="54"/>
      <c r="K88" s="54"/>
      <c r="L88" s="54">
        <f>IF('DDR3 Config'!K1=3,'DDR3 Spec'!W56,'DDR3 Spec'!W55)</f>
        <v>41</v>
      </c>
      <c r="M88" s="54"/>
      <c r="N88" s="54"/>
      <c r="O88" s="54"/>
      <c r="P88" s="54"/>
      <c r="Q88" s="54"/>
      <c r="R88" s="54"/>
      <c r="S88" s="54"/>
      <c r="T88" s="54"/>
      <c r="U88" s="54"/>
      <c r="V88" s="54"/>
      <c r="W88" s="54"/>
      <c r="X88" s="54"/>
      <c r="Y88" s="54"/>
      <c r="Z88" s="54"/>
      <c r="AA88" s="54"/>
      <c r="AB88" s="54"/>
      <c r="AC88" s="54"/>
      <c r="AD88" s="54"/>
      <c r="AE88" s="54"/>
      <c r="AF88" s="54"/>
      <c r="AG88" s="54"/>
      <c r="AH88" s="54"/>
      <c r="AI88" s="54"/>
      <c r="AJ88" s="54"/>
      <c r="AK88" s="34"/>
    </row>
    <row r="89" spans="1:37" ht="24" hidden="1" customHeight="1">
      <c r="A89" s="49" t="s">
        <v>167</v>
      </c>
      <c r="B89" s="50" t="s">
        <v>23</v>
      </c>
      <c r="C89" s="56"/>
      <c r="D89" s="56"/>
      <c r="E89" s="54"/>
      <c r="F89" s="54"/>
      <c r="G89" s="54"/>
      <c r="H89" s="54"/>
      <c r="I89" s="54"/>
      <c r="J89" s="54"/>
      <c r="K89" s="54"/>
      <c r="L89" s="54">
        <f>IF('DDR3 Config'!K1=3,'DDR3 Spec'!W58,'DDR3 Spec'!W57)</f>
        <v>49</v>
      </c>
      <c r="M89" s="54"/>
      <c r="N89" s="54"/>
      <c r="O89" s="54"/>
      <c r="P89" s="54"/>
      <c r="Q89" s="54"/>
      <c r="R89" s="54"/>
      <c r="S89" s="54"/>
      <c r="T89" s="54"/>
      <c r="U89" s="54"/>
      <c r="V89" s="54"/>
      <c r="W89" s="54"/>
      <c r="X89" s="54"/>
      <c r="Y89" s="54"/>
      <c r="Z89" s="54"/>
      <c r="AA89" s="54"/>
      <c r="AB89" s="54"/>
      <c r="AC89" s="54"/>
      <c r="AD89" s="54"/>
      <c r="AE89" s="54"/>
      <c r="AF89" s="54"/>
      <c r="AG89" s="54"/>
      <c r="AH89" s="54"/>
      <c r="AI89" s="54"/>
      <c r="AJ89" s="54"/>
      <c r="AK89" s="34"/>
    </row>
    <row r="90" spans="1:37" ht="24" hidden="1" customHeight="1">
      <c r="A90" s="49" t="s">
        <v>168</v>
      </c>
      <c r="B90" s="50" t="s">
        <v>24</v>
      </c>
      <c r="C90" s="56"/>
      <c r="D90" s="56"/>
      <c r="E90" s="54"/>
      <c r="F90" s="54"/>
      <c r="G90" s="54"/>
      <c r="H90" s="54"/>
      <c r="I90" s="54"/>
      <c r="J90" s="54"/>
      <c r="K90" s="54"/>
      <c r="L90" s="54">
        <f>IF('DDR3 Config'!K1=3,'DDR3 Spec'!W61,          IF('DDR3 Config'!K1=2,             'DDR3 Spec'!W60,             'DDR3 Spec'!W59          )             )</f>
        <v>252</v>
      </c>
      <c r="M90" s="54"/>
      <c r="N90" s="54"/>
      <c r="O90" s="54"/>
      <c r="P90" s="54"/>
      <c r="Q90" s="54"/>
      <c r="R90" s="54"/>
      <c r="S90" s="54"/>
      <c r="T90" s="54"/>
      <c r="U90" s="54"/>
      <c r="V90" s="54"/>
      <c r="W90" s="54"/>
      <c r="X90" s="54"/>
      <c r="Y90" s="54"/>
      <c r="Z90" s="54"/>
      <c r="AA90" s="54"/>
      <c r="AB90" s="54"/>
      <c r="AC90" s="54"/>
      <c r="AD90" s="54"/>
      <c r="AE90" s="54"/>
      <c r="AF90" s="54"/>
      <c r="AG90" s="54"/>
      <c r="AH90" s="54"/>
      <c r="AI90" s="54"/>
      <c r="AJ90" s="54"/>
      <c r="AK90" s="34"/>
    </row>
    <row r="91" spans="1:37" ht="24" hidden="1" customHeight="1">
      <c r="A91" s="49" t="s">
        <v>169</v>
      </c>
      <c r="B91" s="50" t="s">
        <v>25</v>
      </c>
      <c r="C91" s="56"/>
      <c r="D91" s="56"/>
      <c r="E91" s="54"/>
      <c r="F91" s="54"/>
      <c r="G91" s="54"/>
      <c r="H91" s="54"/>
      <c r="I91" s="54"/>
      <c r="J91" s="54"/>
      <c r="K91" s="54"/>
      <c r="L91" s="54">
        <f>IF('DDR3 Config'!K1=3,'DDR3 Spec'!W64,          IF('DDR3 Config'!K1=2,             'DDR3 Spec'!W63,             'DDR3 Spec'!W62          )             )</f>
        <v>190</v>
      </c>
      <c r="M91" s="54"/>
      <c r="N91" s="54"/>
      <c r="O91" s="54"/>
      <c r="P91" s="54"/>
      <c r="Q91" s="54"/>
      <c r="R91" s="54"/>
      <c r="S91" s="54"/>
      <c r="T91" s="54"/>
      <c r="U91" s="54"/>
      <c r="V91" s="54"/>
      <c r="W91" s="54"/>
      <c r="X91" s="54"/>
      <c r="Y91" s="54"/>
      <c r="Z91" s="54"/>
      <c r="AA91" s="54"/>
      <c r="AB91" s="54"/>
      <c r="AC91" s="54"/>
      <c r="AD91" s="54"/>
      <c r="AE91" s="54"/>
      <c r="AF91" s="54"/>
      <c r="AG91" s="54"/>
      <c r="AH91" s="54"/>
      <c r="AI91" s="54"/>
      <c r="AJ91" s="54"/>
      <c r="AK91" s="34"/>
    </row>
    <row r="92" spans="1:37" ht="24" hidden="1" customHeight="1">
      <c r="A92" s="49" t="s">
        <v>170</v>
      </c>
      <c r="B92" s="50" t="s">
        <v>32</v>
      </c>
      <c r="C92" s="56"/>
      <c r="D92" s="56"/>
      <c r="E92" s="54"/>
      <c r="F92" s="54"/>
      <c r="G92" s="54"/>
      <c r="H92" s="54"/>
      <c r="I92" s="54"/>
      <c r="J92" s="54"/>
      <c r="K92" s="54"/>
      <c r="L92" s="54">
        <f>IF('DDR3 Config'!K1=3,'DDR3 Spec'!W66,'DDR3 Spec'!W65)</f>
        <v>242</v>
      </c>
      <c r="M92" s="54"/>
      <c r="N92" s="54"/>
      <c r="O92" s="54"/>
      <c r="P92" s="54"/>
      <c r="Q92" s="54"/>
      <c r="R92" s="54"/>
      <c r="S92" s="54"/>
      <c r="T92" s="54"/>
      <c r="U92" s="54"/>
      <c r="V92" s="54"/>
      <c r="W92" s="54"/>
      <c r="X92" s="54"/>
      <c r="Y92" s="54"/>
      <c r="Z92" s="54"/>
      <c r="AA92" s="54"/>
      <c r="AB92" s="54"/>
      <c r="AC92" s="54"/>
      <c r="AD92" s="54"/>
      <c r="AE92" s="54"/>
      <c r="AF92" s="54"/>
      <c r="AG92" s="54"/>
      <c r="AH92" s="54"/>
      <c r="AI92" s="54"/>
      <c r="AJ92" s="54"/>
      <c r="AK92" s="34"/>
    </row>
    <row r="93" spans="1:37" ht="24" hidden="1" customHeight="1">
      <c r="A93" s="49"/>
      <c r="B93" s="50"/>
      <c r="C93" s="56"/>
      <c r="D93" s="56"/>
      <c r="E93" s="54"/>
      <c r="F93" s="54"/>
      <c r="G93" s="54"/>
      <c r="H93" s="54"/>
      <c r="I93" s="54"/>
      <c r="J93" s="54"/>
      <c r="K93" s="54"/>
      <c r="L93" s="54"/>
      <c r="M93" s="54"/>
      <c r="N93" s="54"/>
      <c r="O93" s="54"/>
      <c r="P93" s="54"/>
      <c r="Q93" s="54"/>
      <c r="R93" s="54"/>
      <c r="S93" s="54"/>
      <c r="T93" s="54"/>
      <c r="U93" s="54"/>
      <c r="V93" s="54"/>
      <c r="W93" s="54"/>
      <c r="X93" s="54"/>
      <c r="Y93" s="54"/>
      <c r="Z93" s="54"/>
      <c r="AA93" s="54"/>
      <c r="AB93" s="54"/>
      <c r="AC93" s="54"/>
      <c r="AD93" s="54"/>
      <c r="AE93" s="54"/>
      <c r="AF93" s="54"/>
      <c r="AG93" s="54"/>
      <c r="AH93" s="54"/>
      <c r="AI93" s="54"/>
      <c r="AJ93" s="54"/>
      <c r="AK93" s="34"/>
    </row>
    <row r="94" spans="1:37" ht="24" hidden="1" customHeight="1">
      <c r="A94" s="49"/>
      <c r="B94" s="55" t="s">
        <v>171</v>
      </c>
      <c r="C94" s="56"/>
      <c r="D94" s="56"/>
      <c r="E94" s="54"/>
      <c r="F94" s="54"/>
      <c r="G94" s="54"/>
      <c r="H94" s="54"/>
      <c r="I94" s="54"/>
      <c r="J94" s="54"/>
      <c r="K94" s="54"/>
      <c r="L94" s="54">
        <f>W69</f>
        <v>1.07</v>
      </c>
      <c r="M94" s="54"/>
      <c r="N94" s="54"/>
      <c r="O94" s="54"/>
      <c r="P94" s="54"/>
      <c r="Q94" s="54"/>
      <c r="R94" s="54"/>
      <c r="S94" s="54"/>
      <c r="T94" s="54"/>
      <c r="U94" s="54"/>
      <c r="V94" s="54"/>
      <c r="W94" s="54"/>
      <c r="X94" s="54"/>
      <c r="Y94" s="54"/>
      <c r="Z94" s="54"/>
      <c r="AA94" s="54"/>
      <c r="AB94" s="54"/>
      <c r="AC94" s="54"/>
      <c r="AD94" s="54"/>
      <c r="AE94" s="54"/>
      <c r="AF94" s="54"/>
      <c r="AG94" s="54"/>
      <c r="AH94" s="54"/>
      <c r="AI94" s="54"/>
      <c r="AJ94" s="54"/>
      <c r="AK94" s="34"/>
    </row>
    <row r="95" spans="1:37" ht="24" hidden="1" customHeight="1">
      <c r="A95" s="60" t="s">
        <v>172</v>
      </c>
      <c r="B95" s="50" t="s">
        <v>1</v>
      </c>
      <c r="C95" s="56"/>
      <c r="D95" s="56"/>
      <c r="E95" s="54"/>
      <c r="F95" s="54"/>
      <c r="G95" s="54"/>
      <c r="H95" s="54"/>
      <c r="I95" s="54"/>
      <c r="J95" s="54"/>
      <c r="K95" s="54"/>
      <c r="L95" s="54">
        <f>IF('DDR3 Config'!K1=3,'DDR3 Spec'!W71,'DDR3 Spec'!W70)</f>
        <v>6</v>
      </c>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34"/>
    </row>
    <row r="96" spans="1:37" ht="24" hidden="1" customHeight="1">
      <c r="A96" s="60" t="s">
        <v>173</v>
      </c>
      <c r="B96" s="50" t="s">
        <v>2</v>
      </c>
      <c r="C96" s="56"/>
      <c r="D96" s="56"/>
      <c r="E96" s="54"/>
      <c r="F96" s="54"/>
      <c r="G96" s="54"/>
      <c r="H96" s="54"/>
      <c r="I96" s="54"/>
      <c r="J96" s="54"/>
      <c r="K96" s="54"/>
      <c r="L96" s="54">
        <f t="shared" ref="L96:L101" si="0">W72</f>
        <v>45</v>
      </c>
      <c r="M96" s="54"/>
      <c r="N96" s="54"/>
      <c r="O96" s="54"/>
      <c r="P96" s="54"/>
      <c r="Q96" s="54"/>
      <c r="R96" s="54"/>
      <c r="S96" s="54"/>
      <c r="T96" s="54"/>
      <c r="U96" s="54"/>
      <c r="V96" s="54"/>
      <c r="W96" s="54"/>
      <c r="X96" s="54"/>
      <c r="Y96" s="54"/>
      <c r="Z96" s="54"/>
      <c r="AA96" s="54"/>
      <c r="AB96" s="54"/>
      <c r="AC96" s="54"/>
      <c r="AD96" s="54"/>
      <c r="AE96" s="54"/>
      <c r="AF96" s="54"/>
      <c r="AG96" s="54"/>
      <c r="AH96" s="54"/>
      <c r="AI96" s="54"/>
      <c r="AJ96" s="54"/>
      <c r="AK96" s="34"/>
    </row>
    <row r="97" spans="1:37" ht="24" hidden="1" customHeight="1">
      <c r="A97" s="60" t="s">
        <v>174</v>
      </c>
      <c r="B97" s="50" t="s">
        <v>31</v>
      </c>
      <c r="C97" s="56"/>
      <c r="D97" s="56"/>
      <c r="E97" s="54"/>
      <c r="F97" s="54"/>
      <c r="G97" s="54"/>
      <c r="H97" s="54"/>
      <c r="I97" s="54"/>
      <c r="J97" s="54"/>
      <c r="K97" s="54"/>
      <c r="L97" s="54">
        <f t="shared" si="0"/>
        <v>32</v>
      </c>
      <c r="M97" s="54"/>
      <c r="N97" s="54"/>
      <c r="O97" s="54"/>
      <c r="P97" s="54"/>
      <c r="Q97" s="54"/>
      <c r="R97" s="54"/>
      <c r="S97" s="54"/>
      <c r="T97" s="54"/>
      <c r="U97" s="54"/>
      <c r="V97" s="54"/>
      <c r="W97" s="54"/>
      <c r="X97" s="54"/>
      <c r="Y97" s="54"/>
      <c r="Z97" s="54"/>
      <c r="AA97" s="54"/>
      <c r="AB97" s="54"/>
      <c r="AC97" s="54"/>
      <c r="AD97" s="54"/>
      <c r="AE97" s="54"/>
      <c r="AF97" s="54"/>
      <c r="AG97" s="54"/>
      <c r="AH97" s="54"/>
      <c r="AI97" s="54"/>
      <c r="AJ97" s="54"/>
      <c r="AK97" s="34"/>
    </row>
    <row r="98" spans="1:37" ht="24" hidden="1" customHeight="1">
      <c r="A98" s="60" t="s">
        <v>180</v>
      </c>
      <c r="B98" s="50" t="s">
        <v>91</v>
      </c>
      <c r="C98" s="56"/>
      <c r="D98" s="56"/>
      <c r="E98" s="54"/>
      <c r="F98" s="54"/>
      <c r="G98" s="54"/>
      <c r="H98" s="54"/>
      <c r="I98" s="54"/>
      <c r="J98" s="54"/>
      <c r="K98" s="54"/>
      <c r="L98" s="54">
        <f t="shared" si="0"/>
        <v>243</v>
      </c>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34"/>
    </row>
    <row r="99" spans="1:37" ht="24" hidden="1" customHeight="1">
      <c r="A99" s="60" t="s">
        <v>175</v>
      </c>
      <c r="B99" s="50" t="s">
        <v>92</v>
      </c>
      <c r="C99" s="56"/>
      <c r="D99" s="56"/>
      <c r="E99" s="54"/>
      <c r="F99" s="54"/>
      <c r="G99" s="54"/>
      <c r="H99" s="54"/>
      <c r="I99" s="54"/>
      <c r="J99" s="54"/>
      <c r="K99" s="54"/>
      <c r="L99" s="54">
        <f t="shared" si="0"/>
        <v>7.8</v>
      </c>
      <c r="M99" s="54"/>
      <c r="N99" s="54"/>
      <c r="O99" s="54"/>
      <c r="P99" s="54"/>
      <c r="Q99" s="54"/>
      <c r="R99" s="54"/>
      <c r="S99" s="54"/>
      <c r="T99" s="54"/>
      <c r="U99" s="54"/>
      <c r="V99" s="54"/>
      <c r="W99" s="54"/>
      <c r="X99" s="54"/>
      <c r="Y99" s="54"/>
      <c r="Z99" s="54"/>
      <c r="AA99" s="54"/>
      <c r="AB99" s="54"/>
      <c r="AC99" s="54"/>
      <c r="AD99" s="54"/>
      <c r="AE99" s="54"/>
      <c r="AF99" s="54"/>
      <c r="AG99" s="54"/>
      <c r="AH99" s="54"/>
      <c r="AI99" s="54"/>
      <c r="AJ99" s="54"/>
      <c r="AK99" s="34"/>
    </row>
    <row r="100" spans="1:37" ht="24" hidden="1" customHeight="1">
      <c r="A100" s="49" t="s">
        <v>93</v>
      </c>
      <c r="B100" s="50" t="s">
        <v>176</v>
      </c>
      <c r="C100" s="56"/>
      <c r="D100" s="56"/>
      <c r="E100" s="54"/>
      <c r="F100" s="54"/>
      <c r="G100" s="54"/>
      <c r="H100" s="54"/>
      <c r="I100" s="54"/>
      <c r="J100" s="54"/>
      <c r="K100" s="54"/>
      <c r="L100" s="54">
        <f t="shared" si="0"/>
        <v>1.07</v>
      </c>
      <c r="M100" s="54"/>
      <c r="N100" s="54"/>
      <c r="O100" s="54"/>
      <c r="P100" s="54"/>
      <c r="Q100" s="54"/>
      <c r="R100" s="54"/>
      <c r="S100" s="54"/>
      <c r="T100" s="54"/>
      <c r="U100" s="54"/>
      <c r="V100" s="54"/>
      <c r="W100" s="54"/>
      <c r="X100" s="54"/>
      <c r="Y100" s="54"/>
      <c r="Z100" s="54"/>
      <c r="AA100" s="54"/>
      <c r="AB100" s="54"/>
      <c r="AC100" s="54"/>
      <c r="AD100" s="54"/>
      <c r="AE100" s="54"/>
      <c r="AF100" s="54"/>
      <c r="AG100" s="54"/>
      <c r="AH100" s="54"/>
      <c r="AI100" s="54"/>
      <c r="AJ100" s="54"/>
      <c r="AK100" s="34"/>
    </row>
    <row r="101" spans="1:37" ht="24" hidden="1" customHeight="1" thickBot="1">
      <c r="A101" s="61" t="s">
        <v>94</v>
      </c>
      <c r="B101" s="62" t="s">
        <v>177</v>
      </c>
      <c r="C101" s="56"/>
      <c r="D101" s="56"/>
      <c r="E101" s="54"/>
      <c r="F101" s="54"/>
      <c r="G101" s="54"/>
      <c r="H101" s="54"/>
      <c r="I101" s="54"/>
      <c r="J101" s="54"/>
      <c r="K101" s="54"/>
      <c r="L101" s="54">
        <f t="shared" si="0"/>
        <v>3.3</v>
      </c>
      <c r="M101" s="54"/>
      <c r="N101" s="54"/>
      <c r="O101" s="54"/>
      <c r="P101" s="54"/>
      <c r="Q101" s="54"/>
      <c r="R101" s="54"/>
      <c r="S101" s="54"/>
      <c r="T101" s="54"/>
      <c r="U101" s="54"/>
      <c r="V101" s="54"/>
      <c r="W101" s="54"/>
      <c r="X101" s="54"/>
      <c r="Y101" s="54"/>
      <c r="Z101" s="54"/>
      <c r="AA101" s="54"/>
      <c r="AB101" s="54"/>
      <c r="AC101" s="54"/>
      <c r="AD101" s="54"/>
      <c r="AE101" s="54"/>
      <c r="AF101" s="54"/>
      <c r="AG101" s="54"/>
      <c r="AH101" s="54"/>
      <c r="AI101" s="54"/>
      <c r="AJ101" s="54"/>
      <c r="AK101" s="34"/>
    </row>
    <row r="102" spans="1:37" ht="24" hidden="1" customHeight="1">
      <c r="A102" s="56"/>
      <c r="B102" s="57"/>
      <c r="C102" s="56"/>
      <c r="D102" s="56"/>
      <c r="E102" s="54"/>
      <c r="F102" s="54"/>
      <c r="G102" s="54"/>
      <c r="H102" s="54"/>
      <c r="I102" s="54"/>
      <c r="J102" s="54"/>
      <c r="K102" s="54"/>
      <c r="L102" s="54"/>
      <c r="M102" s="54"/>
      <c r="N102" s="54"/>
      <c r="O102" s="54"/>
      <c r="P102" s="54"/>
      <c r="Q102" s="54"/>
      <c r="R102" s="54"/>
      <c r="S102" s="54"/>
      <c r="T102" s="54"/>
      <c r="U102" s="54"/>
      <c r="V102" s="54"/>
      <c r="W102" s="54"/>
      <c r="X102" s="54"/>
      <c r="Y102" s="54"/>
      <c r="Z102" s="54"/>
      <c r="AA102" s="54"/>
      <c r="AB102" s="54"/>
      <c r="AC102" s="54"/>
      <c r="AD102" s="54"/>
      <c r="AE102" s="54"/>
      <c r="AF102" s="54"/>
      <c r="AG102" s="54"/>
      <c r="AH102" s="54"/>
      <c r="AI102" s="54"/>
      <c r="AJ102" s="54"/>
      <c r="AK102" s="34"/>
    </row>
    <row r="103" spans="1:37" ht="24" hidden="1" customHeight="1">
      <c r="A103" s="56"/>
      <c r="B103" s="57"/>
      <c r="C103" s="56"/>
      <c r="D103" s="56"/>
      <c r="E103" s="54"/>
      <c r="F103" s="54"/>
      <c r="G103" s="54"/>
      <c r="H103" s="54"/>
      <c r="I103" s="54"/>
      <c r="J103" s="54"/>
      <c r="K103" s="54"/>
      <c r="L103" s="54"/>
      <c r="M103" s="54"/>
      <c r="N103" s="54"/>
      <c r="O103" s="54"/>
      <c r="P103" s="54"/>
      <c r="Q103" s="54"/>
      <c r="R103" s="54"/>
      <c r="S103" s="54"/>
      <c r="T103" s="54"/>
      <c r="U103" s="54"/>
      <c r="V103" s="54"/>
      <c r="W103" s="54"/>
      <c r="X103" s="54"/>
      <c r="Y103" s="54"/>
      <c r="Z103" s="54"/>
      <c r="AA103" s="54"/>
      <c r="AB103" s="54"/>
      <c r="AC103" s="54"/>
      <c r="AD103" s="54"/>
      <c r="AE103" s="54"/>
      <c r="AF103" s="54"/>
      <c r="AG103" s="54"/>
      <c r="AH103" s="54"/>
      <c r="AI103" s="54"/>
      <c r="AJ103" s="54"/>
      <c r="AK103" s="34"/>
    </row>
    <row r="104" spans="1:37" ht="24" hidden="1" customHeight="1">
      <c r="A104" s="56"/>
      <c r="B104" s="57"/>
      <c r="C104" s="56"/>
      <c r="D104" s="56"/>
      <c r="E104" s="54"/>
      <c r="F104" s="54"/>
      <c r="G104" s="54"/>
      <c r="H104" s="54"/>
      <c r="I104" s="54"/>
      <c r="J104" s="54"/>
      <c r="K104" s="54"/>
      <c r="L104" s="54"/>
      <c r="M104" s="54"/>
      <c r="N104" s="54"/>
      <c r="O104" s="54"/>
      <c r="P104" s="54"/>
      <c r="Q104" s="54"/>
      <c r="R104" s="54"/>
      <c r="S104" s="54"/>
      <c r="T104" s="54"/>
      <c r="U104" s="54"/>
      <c r="V104" s="54"/>
      <c r="W104" s="54"/>
      <c r="X104" s="54"/>
      <c r="Y104" s="54"/>
      <c r="Z104" s="54"/>
      <c r="AA104" s="54"/>
      <c r="AB104" s="54"/>
      <c r="AC104" s="54"/>
      <c r="AD104" s="54"/>
      <c r="AE104" s="54"/>
      <c r="AF104" s="54"/>
      <c r="AG104" s="54"/>
      <c r="AH104" s="54"/>
      <c r="AI104" s="54"/>
      <c r="AJ104" s="54"/>
      <c r="AK104" s="34"/>
    </row>
    <row r="105" spans="1:37" ht="24" hidden="1" customHeight="1">
      <c r="A105" s="56" t="s">
        <v>152</v>
      </c>
      <c r="B105" s="57"/>
      <c r="C105" s="56"/>
      <c r="D105" s="56"/>
      <c r="E105" s="54"/>
      <c r="F105" s="54"/>
      <c r="G105" s="54"/>
      <c r="H105" s="54"/>
      <c r="I105" s="54"/>
      <c r="J105" s="54"/>
      <c r="K105" s="54"/>
      <c r="L105" s="54"/>
      <c r="M105" s="54"/>
      <c r="N105" s="54"/>
      <c r="O105" s="54"/>
      <c r="P105" s="54"/>
      <c r="Q105" s="54"/>
      <c r="R105" s="54"/>
      <c r="S105" s="54"/>
      <c r="T105" s="54"/>
      <c r="U105" s="54"/>
      <c r="V105" s="54"/>
      <c r="W105" s="54"/>
      <c r="X105" s="54"/>
      <c r="Y105" s="54"/>
      <c r="Z105" s="54"/>
      <c r="AA105" s="54"/>
      <c r="AB105" s="54"/>
      <c r="AC105" s="54"/>
      <c r="AD105" s="54"/>
      <c r="AE105" s="54"/>
      <c r="AF105" s="54"/>
      <c r="AG105" s="54"/>
      <c r="AH105" s="54"/>
      <c r="AI105" s="54"/>
      <c r="AJ105" s="54"/>
      <c r="AK105" s="34"/>
    </row>
    <row r="106" spans="1:37" ht="24" hidden="1" customHeight="1">
      <c r="A106" s="34"/>
      <c r="B106" s="35"/>
      <c r="C106" s="34"/>
      <c r="D106" s="34"/>
      <c r="E106" s="36"/>
      <c r="F106" s="36"/>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c r="AI106" s="36"/>
      <c r="AJ106" s="36"/>
      <c r="AK106" s="34"/>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 ref="AV4:BE4"/>
    <mergeCell ref="Z4:AI4"/>
    <mergeCell ref="O4:X4"/>
    <mergeCell ref="D4:M4"/>
    <mergeCell ref="AK4:AT4"/>
    <mergeCell ref="B30:C30"/>
    <mergeCell ref="A29:C29"/>
    <mergeCell ref="A24:A26"/>
    <mergeCell ref="B24:B26"/>
    <mergeCell ref="B27:B28"/>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A9:A10"/>
    <mergeCell ref="A13:A14"/>
    <mergeCell ref="A11:A12"/>
    <mergeCell ref="B17:B18"/>
    <mergeCell ref="B15:B16"/>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10" zoomScaleNormal="100" workbookViewId="0">
      <selection activeCell="A6" sqref="A6"/>
    </sheetView>
  </sheetViews>
  <sheetFormatPr defaultColWidth="8.7109375" defaultRowHeight="12.75"/>
  <cols>
    <col min="1" max="1" width="11" customWidth="1"/>
    <col min="2" max="2" width="59.28515625" customWidth="1"/>
    <col min="3" max="3" width="9.5703125" customWidth="1"/>
    <col min="4" max="4" width="7.7109375" customWidth="1"/>
    <col min="5" max="5" width="47.28515625" customWidth="1"/>
    <col min="6" max="6" width="3.7109375" hidden="1" customWidth="1"/>
    <col min="7" max="7" width="3.28515625" style="146" hidden="1" customWidth="1"/>
    <col min="8" max="8" width="4" style="146" hidden="1" customWidth="1"/>
    <col min="9" max="9" width="3.5703125" style="146" hidden="1" customWidth="1"/>
    <col min="10" max="10" width="4.5703125" style="146" hidden="1" customWidth="1"/>
    <col min="11" max="11" width="3.28515625" style="146" hidden="1" customWidth="1"/>
    <col min="12" max="12" width="3.7109375" style="146" hidden="1" customWidth="1"/>
    <col min="13" max="13" width="5.28515625" style="146" hidden="1" customWidth="1"/>
    <col min="14" max="14" width="2.5703125" customWidth="1"/>
    <col min="15" max="15" width="3.7109375" customWidth="1"/>
    <col min="16" max="16" width="4.7109375" customWidth="1"/>
    <col min="17" max="49" width="8.7109375" customWidth="1"/>
  </cols>
  <sheetData>
    <row r="1" spans="1:18">
      <c r="A1" s="25"/>
      <c r="G1" s="146">
        <v>3</v>
      </c>
      <c r="H1" s="146">
        <v>4</v>
      </c>
      <c r="I1" s="146">
        <v>2</v>
      </c>
      <c r="J1" s="147"/>
      <c r="K1" s="147">
        <v>3</v>
      </c>
      <c r="L1" s="147"/>
      <c r="M1" s="147"/>
      <c r="N1" s="20"/>
      <c r="O1" s="20"/>
    </row>
    <row r="2" spans="1:18" ht="102">
      <c r="H2" s="146" t="s">
        <v>48</v>
      </c>
      <c r="I2" s="146" t="s">
        <v>102</v>
      </c>
      <c r="J2" s="147"/>
      <c r="K2" s="147" t="s">
        <v>97</v>
      </c>
      <c r="L2" s="147"/>
      <c r="M2" s="147"/>
      <c r="N2" s="20"/>
      <c r="O2" s="20"/>
    </row>
    <row r="3" spans="1:18" ht="38.25">
      <c r="G3" s="146" t="s">
        <v>161</v>
      </c>
      <c r="H3" s="148" t="str">
        <f>'DDR3 Spec'!D5</f>
        <v>-093E</v>
      </c>
      <c r="I3" s="148" t="s">
        <v>217</v>
      </c>
      <c r="J3" s="147">
        <v>1</v>
      </c>
      <c r="K3" s="147" t="s">
        <v>100</v>
      </c>
      <c r="L3" s="147">
        <v>4</v>
      </c>
      <c r="M3" s="147"/>
      <c r="N3" s="20"/>
      <c r="O3" s="20"/>
    </row>
    <row r="4" spans="1:18" ht="38.25">
      <c r="G4" s="146" t="s">
        <v>205</v>
      </c>
      <c r="H4" s="146" t="str">
        <f>'DDR3 Spec'!E5</f>
        <v>-093</v>
      </c>
      <c r="I4" s="148" t="s">
        <v>218</v>
      </c>
      <c r="J4" s="147">
        <v>1</v>
      </c>
      <c r="K4" s="147" t="s">
        <v>101</v>
      </c>
      <c r="L4" s="147">
        <v>8</v>
      </c>
      <c r="M4" s="147"/>
      <c r="N4" s="20"/>
      <c r="O4" s="20"/>
    </row>
    <row r="5" spans="1:18" ht="40.5">
      <c r="A5" s="287" t="str">
        <f>_xlfn.CONCAT(IF(K12=1,"DDR3","DDR3L")," SDRAM Configuration")</f>
        <v>DDR3L SDRAM Configuration</v>
      </c>
      <c r="B5" s="288"/>
      <c r="C5" s="288"/>
      <c r="D5" s="288"/>
      <c r="E5" s="31"/>
      <c r="F5" s="31"/>
      <c r="G5" s="146" t="s">
        <v>206</v>
      </c>
      <c r="H5" s="146" t="str">
        <f>'DDR3 Spec'!F5</f>
        <v>-107E</v>
      </c>
      <c r="J5" s="147">
        <v>2</v>
      </c>
      <c r="K5" s="149" t="s">
        <v>99</v>
      </c>
      <c r="L5" s="147">
        <v>16</v>
      </c>
      <c r="M5" s="147"/>
      <c r="N5" s="20"/>
      <c r="O5" s="20"/>
    </row>
    <row r="6" spans="1:18" ht="15" customHeight="1" thickBot="1">
      <c r="A6" s="16"/>
      <c r="B6" s="16"/>
      <c r="C6" s="16"/>
      <c r="D6" s="16"/>
      <c r="G6" s="146" t="s">
        <v>316</v>
      </c>
      <c r="H6" s="148" t="str">
        <f>'DDR3 Spec'!G5</f>
        <v>-107</v>
      </c>
    </row>
    <row r="7" spans="1:18" ht="18.75" customHeight="1" thickBot="1">
      <c r="A7" s="16"/>
      <c r="B7" s="254" t="s">
        <v>53</v>
      </c>
      <c r="C7" s="255" t="str">
        <f>INDEX(G3:G7,G1)</f>
        <v>4Gb</v>
      </c>
      <c r="D7" s="256"/>
      <c r="G7" s="252" t="s">
        <v>317</v>
      </c>
      <c r="H7" s="148" t="str">
        <f>'DDR3 Spec'!H5</f>
        <v>-125E</v>
      </c>
      <c r="L7" s="146" t="s">
        <v>325</v>
      </c>
      <c r="M7" s="252" t="s">
        <v>326</v>
      </c>
    </row>
    <row r="8" spans="1:18" ht="18.75" customHeight="1" thickBot="1">
      <c r="A8" s="16"/>
      <c r="B8" s="254" t="s">
        <v>59</v>
      </c>
      <c r="C8" s="257">
        <f>INDEX(L3:L5,K1)</f>
        <v>16</v>
      </c>
      <c r="D8" s="256"/>
      <c r="H8" s="146" t="str">
        <f>'DDR3 Spec'!I5</f>
        <v>-125</v>
      </c>
      <c r="K8" s="252" t="s">
        <v>323</v>
      </c>
      <c r="L8" s="146">
        <v>1.575</v>
      </c>
      <c r="M8" s="146">
        <v>1.425</v>
      </c>
    </row>
    <row r="9" spans="1:18" ht="18.75" customHeight="1" thickBot="1">
      <c r="A9" s="16"/>
      <c r="B9" s="254" t="s">
        <v>48</v>
      </c>
      <c r="C9" s="258" t="str">
        <f>INDEX(H3:H12,H1)</f>
        <v>-107</v>
      </c>
      <c r="D9" s="256"/>
      <c r="H9" s="146" t="str">
        <f>'DDR3 Spec'!J5</f>
        <v>-15E</v>
      </c>
      <c r="K9" s="252" t="s">
        <v>324</v>
      </c>
      <c r="L9" s="146">
        <v>1.4350000000000001</v>
      </c>
      <c r="M9" s="146">
        <v>1.2829999999999999</v>
      </c>
    </row>
    <row r="10" spans="1:18" ht="18.75" customHeight="1" thickBot="1">
      <c r="A10" s="16"/>
      <c r="B10" s="259" t="s">
        <v>322</v>
      </c>
      <c r="C10" s="257"/>
      <c r="D10" s="256"/>
      <c r="H10" s="146" t="str">
        <f>'DDR3 Spec'!K5</f>
        <v>-187E</v>
      </c>
      <c r="R10" s="253"/>
    </row>
    <row r="11" spans="1:18" ht="19.149999999999999" customHeight="1" thickBot="1">
      <c r="A11" s="16"/>
      <c r="B11" s="259" t="s">
        <v>219</v>
      </c>
      <c r="C11" s="257"/>
      <c r="D11" s="256"/>
      <c r="H11" s="146" t="str">
        <f>'DDR3 Spec'!L5</f>
        <v>-187</v>
      </c>
    </row>
    <row r="12" spans="1:18">
      <c r="A12" s="16"/>
      <c r="B12" s="2"/>
      <c r="C12" s="2"/>
      <c r="D12" s="2"/>
      <c r="H12" s="146" t="str">
        <f>'DDR3 Spec'!M5</f>
        <v>-25</v>
      </c>
      <c r="K12" s="260">
        <v>2</v>
      </c>
    </row>
    <row r="13" spans="1:18" ht="13.5" thickBot="1">
      <c r="A13" s="16"/>
      <c r="B13" s="16"/>
      <c r="C13" s="17"/>
      <c r="D13" s="16"/>
      <c r="H13" s="150" t="s">
        <v>250</v>
      </c>
    </row>
    <row r="14" spans="1:18" ht="16.149999999999999" customHeight="1">
      <c r="A14" s="77" t="s">
        <v>51</v>
      </c>
      <c r="B14" s="78" t="s">
        <v>52</v>
      </c>
      <c r="C14" s="79" t="s">
        <v>49</v>
      </c>
      <c r="D14" s="80" t="s">
        <v>50</v>
      </c>
      <c r="H14" s="150" t="s">
        <v>250</v>
      </c>
    </row>
    <row r="15" spans="1:18" ht="14.25">
      <c r="A15" s="52"/>
      <c r="B15" s="53" t="s">
        <v>232</v>
      </c>
      <c r="C15" s="81">
        <f>IF(K12=1,L8,L9)</f>
        <v>1.4350000000000001</v>
      </c>
      <c r="D15" s="88" t="s">
        <v>12</v>
      </c>
      <c r="E15" s="1"/>
      <c r="F15" s="1"/>
      <c r="G15" s="148"/>
    </row>
    <row r="16" spans="1:18" ht="14.25">
      <c r="A16" s="52"/>
      <c r="B16" s="53" t="s">
        <v>233</v>
      </c>
      <c r="C16" s="81">
        <f>IF(K12=1,M8,M9)</f>
        <v>1.2829999999999999</v>
      </c>
      <c r="D16" s="88" t="s">
        <v>12</v>
      </c>
      <c r="E16" s="1"/>
      <c r="F16" s="1"/>
      <c r="G16" s="148"/>
    </row>
    <row r="17" spans="1:10" ht="14.25">
      <c r="A17" s="52"/>
      <c r="B17" s="53"/>
      <c r="C17" s="81"/>
      <c r="D17" s="88"/>
      <c r="E17" s="1"/>
      <c r="F17" s="1"/>
      <c r="G17" s="148"/>
    </row>
    <row r="18" spans="1:10" ht="14.25">
      <c r="A18" s="52"/>
      <c r="B18" s="53" t="s">
        <v>153</v>
      </c>
      <c r="C18" s="82">
        <f>INDEX(J3:J5,K1)*2</f>
        <v>4</v>
      </c>
      <c r="D18" s="88"/>
      <c r="E18" s="1"/>
      <c r="F18" s="1"/>
      <c r="G18" s="148"/>
    </row>
    <row r="19" spans="1:10" ht="14.25">
      <c r="A19" s="52"/>
      <c r="B19" s="53" t="s">
        <v>154</v>
      </c>
      <c r="C19" s="83">
        <f>INDEX(J3:J5,K1)</f>
        <v>2</v>
      </c>
      <c r="D19" s="88"/>
      <c r="E19" s="1"/>
      <c r="F19" s="1"/>
      <c r="G19" s="148"/>
      <c r="J19" s="150" t="s">
        <v>250</v>
      </c>
    </row>
    <row r="20" spans="1:10" ht="14.25">
      <c r="A20" s="52"/>
      <c r="B20" s="53"/>
      <c r="C20" s="81"/>
      <c r="D20" s="88"/>
      <c r="E20" s="1"/>
      <c r="F20" s="1"/>
      <c r="G20" s="148"/>
    </row>
    <row r="21" spans="1:10" ht="14.25">
      <c r="A21" s="52" t="s">
        <v>220</v>
      </c>
      <c r="B21" s="53" t="s">
        <v>142</v>
      </c>
      <c r="C21" s="248">
        <f>'DDR3 Spec'!L83</f>
        <v>73</v>
      </c>
      <c r="D21" s="88" t="s">
        <v>13</v>
      </c>
    </row>
    <row r="22" spans="1:10" ht="14.25">
      <c r="A22" s="52" t="s">
        <v>234</v>
      </c>
      <c r="B22" s="53" t="s">
        <v>143</v>
      </c>
      <c r="C22" s="248">
        <f>'DDR3 Spec'!L84</f>
        <v>37</v>
      </c>
      <c r="D22" s="88" t="s">
        <v>13</v>
      </c>
    </row>
    <row r="23" spans="1:10" ht="14.25">
      <c r="A23" s="52" t="s">
        <v>223</v>
      </c>
      <c r="B23" s="53" t="s">
        <v>144</v>
      </c>
      <c r="C23" s="248">
        <f>'DDR3 Spec'!L85</f>
        <v>35</v>
      </c>
      <c r="D23" s="88" t="s">
        <v>13</v>
      </c>
    </row>
    <row r="24" spans="1:10" ht="14.25">
      <c r="A24" s="52" t="s">
        <v>224</v>
      </c>
      <c r="B24" s="53" t="s">
        <v>145</v>
      </c>
      <c r="C24" s="248">
        <f>'DDR3 Spec'!L88</f>
        <v>41</v>
      </c>
      <c r="D24" s="88" t="s">
        <v>13</v>
      </c>
      <c r="E24" s="24"/>
      <c r="F24" s="24"/>
    </row>
    <row r="25" spans="1:10" ht="14.25">
      <c r="A25" s="52" t="s">
        <v>225</v>
      </c>
      <c r="B25" s="53" t="s">
        <v>146</v>
      </c>
      <c r="C25" s="248">
        <f>'DDR3 Spec'!L89</f>
        <v>49</v>
      </c>
      <c r="D25" s="88" t="s">
        <v>13</v>
      </c>
    </row>
    <row r="26" spans="1:10" ht="14.25">
      <c r="A26" s="52" t="s">
        <v>226</v>
      </c>
      <c r="B26" s="53" t="s">
        <v>147</v>
      </c>
      <c r="C26" s="248">
        <f>'DDR3 Spec'!L90</f>
        <v>252</v>
      </c>
      <c r="D26" s="88" t="s">
        <v>13</v>
      </c>
    </row>
    <row r="27" spans="1:10" ht="14.25">
      <c r="A27" s="52" t="s">
        <v>227</v>
      </c>
      <c r="B27" s="53" t="s">
        <v>148</v>
      </c>
      <c r="C27" s="248">
        <f>'DDR3 Spec'!L91</f>
        <v>190</v>
      </c>
      <c r="D27" s="88" t="s">
        <v>13</v>
      </c>
    </row>
    <row r="28" spans="1:10" ht="14.25">
      <c r="A28" s="52" t="s">
        <v>228</v>
      </c>
      <c r="B28" s="53" t="s">
        <v>149</v>
      </c>
      <c r="C28" s="248">
        <f>'DDR3 Spec'!L92</f>
        <v>242</v>
      </c>
      <c r="D28" s="88" t="s">
        <v>13</v>
      </c>
    </row>
    <row r="29" spans="1:10" ht="14.25">
      <c r="A29" s="52"/>
      <c r="B29" s="53"/>
      <c r="C29" s="83"/>
      <c r="D29" s="88"/>
    </row>
    <row r="30" spans="1:10" ht="16.5">
      <c r="A30" s="52"/>
      <c r="B30" s="76" t="s">
        <v>188</v>
      </c>
      <c r="C30" s="81">
        <f>'DDR3 Spec'!L94</f>
        <v>1.07</v>
      </c>
      <c r="D30" s="88" t="s">
        <v>36</v>
      </c>
    </row>
    <row r="31" spans="1:10" ht="16.5">
      <c r="A31" s="84" t="s">
        <v>189</v>
      </c>
      <c r="B31" s="53" t="s">
        <v>1</v>
      </c>
      <c r="C31" s="81">
        <f>'DDR3 Spec'!L95</f>
        <v>6</v>
      </c>
      <c r="D31" s="88" t="s">
        <v>36</v>
      </c>
    </row>
    <row r="32" spans="1:10" ht="16.5">
      <c r="A32" s="84" t="s">
        <v>190</v>
      </c>
      <c r="B32" s="53" t="s">
        <v>150</v>
      </c>
      <c r="C32" s="81">
        <f>'DDR3 Spec'!L96</f>
        <v>45</v>
      </c>
      <c r="D32" s="88" t="s">
        <v>36</v>
      </c>
    </row>
    <row r="33" spans="1:4" ht="16.5">
      <c r="A33" s="84" t="s">
        <v>191</v>
      </c>
      <c r="B33" s="76" t="s">
        <v>236</v>
      </c>
      <c r="C33" s="81">
        <f>'DDR3 Spec'!L97</f>
        <v>32</v>
      </c>
      <c r="D33" s="88" t="s">
        <v>36</v>
      </c>
    </row>
    <row r="34" spans="1:4" ht="16.5">
      <c r="A34" s="84" t="s">
        <v>193</v>
      </c>
      <c r="B34" s="53" t="s">
        <v>151</v>
      </c>
      <c r="C34" s="81">
        <f>'DDR3 Spec'!L98</f>
        <v>243</v>
      </c>
      <c r="D34" s="88" t="s">
        <v>36</v>
      </c>
    </row>
    <row r="35" spans="1:4" ht="16.5">
      <c r="A35" s="84" t="s">
        <v>194</v>
      </c>
      <c r="B35" s="53" t="s">
        <v>92</v>
      </c>
      <c r="C35" s="81">
        <f>'DDR3 Spec'!L99</f>
        <v>7.8</v>
      </c>
      <c r="D35" s="88" t="s">
        <v>201</v>
      </c>
    </row>
    <row r="36" spans="1:4" ht="16.5">
      <c r="A36" s="84" t="s">
        <v>229</v>
      </c>
      <c r="B36" s="53" t="s">
        <v>196</v>
      </c>
      <c r="C36" s="81">
        <f>'DDR3 Spec'!L100</f>
        <v>1.07</v>
      </c>
      <c r="D36" s="88" t="s">
        <v>36</v>
      </c>
    </row>
    <row r="37" spans="1:4" ht="17.25" thickBot="1">
      <c r="A37" s="85" t="s">
        <v>235</v>
      </c>
      <c r="B37" s="86" t="s">
        <v>198</v>
      </c>
      <c r="C37" s="87">
        <f>'DDR3 Spec'!L101</f>
        <v>3.3</v>
      </c>
      <c r="D37" s="89"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514350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514350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514350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514350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19050</xdr:colOff>
                    <xdr:row>9</xdr:row>
                    <xdr:rowOff>19050</xdr:rowOff>
                  </from>
                  <to>
                    <xdr:col>3</xdr:col>
                    <xdr:colOff>514350</xdr:colOff>
                    <xdr:row>10</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O45"/>
  <sheetViews>
    <sheetView showGridLines="0" zoomScale="75" workbookViewId="0">
      <selection activeCell="C22" sqref="C22"/>
    </sheetView>
  </sheetViews>
  <sheetFormatPr defaultColWidth="9.28515625" defaultRowHeight="12.75"/>
  <cols>
    <col min="1" max="1" width="15.42578125" style="231" customWidth="1"/>
    <col min="2" max="2" width="46.28515625" style="153" customWidth="1"/>
    <col min="3" max="3" width="19.42578125" style="153" bestFit="1" customWidth="1"/>
    <col min="4" max="4" width="5.7109375" style="232" customWidth="1"/>
    <col min="5" max="5" width="39.28515625" style="153" customWidth="1"/>
    <col min="6" max="6" width="1.7109375" style="233" customWidth="1"/>
    <col min="7" max="7" width="4.28515625" style="153" customWidth="1"/>
    <col min="8" max="8" width="9.7109375" style="153" customWidth="1"/>
    <col min="9" max="9" width="7.7109375" style="153" customWidth="1"/>
    <col min="10" max="10" width="9.7109375" style="153" customWidth="1"/>
    <col min="11" max="11" width="7.7109375" style="153" customWidth="1"/>
    <col min="12" max="12" width="9.7109375" style="153" customWidth="1"/>
    <col min="13" max="13" width="9" style="153" customWidth="1"/>
    <col min="14" max="14" width="5.7109375" style="153" customWidth="1"/>
    <col min="15" max="15" width="4.7109375" style="153" customWidth="1"/>
    <col min="16" max="16" width="9.7109375" style="153" customWidth="1"/>
    <col min="17" max="17" width="7.7109375" style="153" customWidth="1"/>
    <col min="18" max="18" width="9.7109375" style="153" customWidth="1"/>
    <col min="19" max="19" width="7.7109375" style="153" customWidth="1"/>
    <col min="20" max="20" width="9.7109375" style="153" customWidth="1"/>
    <col min="21" max="21" width="7.7109375" style="153" customWidth="1"/>
    <col min="22" max="22" width="6.85546875" style="153" customWidth="1"/>
    <col min="23" max="23" width="7.5703125" style="153" hidden="1" customWidth="1"/>
    <col min="24" max="25" width="11" style="153" hidden="1" customWidth="1"/>
    <col min="26" max="26" width="3.5703125" style="153" hidden="1" customWidth="1"/>
    <col min="27" max="28" width="11" style="153" hidden="1" customWidth="1"/>
    <col min="29" max="29" width="4" style="153" hidden="1" customWidth="1"/>
    <col min="30" max="35" width="11" style="153" hidden="1" customWidth="1"/>
    <col min="36" max="40" width="11" style="153" customWidth="1"/>
    <col min="41" max="16384" width="9.28515625" style="153"/>
  </cols>
  <sheetData>
    <row r="1" spans="1:41">
      <c r="B1" s="26"/>
    </row>
    <row r="3" spans="1:41" ht="13.5" thickBot="1"/>
    <row r="4" spans="1:41" s="169" customFormat="1" ht="21.75" customHeight="1" thickBot="1">
      <c r="A4" s="168"/>
      <c r="D4" s="170"/>
      <c r="F4" s="171"/>
      <c r="G4" s="293" t="s">
        <v>291</v>
      </c>
      <c r="H4" s="294"/>
      <c r="I4" s="294"/>
      <c r="J4" s="294"/>
      <c r="K4" s="294"/>
      <c r="L4" s="294"/>
      <c r="M4" s="294"/>
      <c r="N4" s="295"/>
      <c r="O4" s="293" t="s">
        <v>292</v>
      </c>
      <c r="P4" s="296"/>
      <c r="Q4" s="296"/>
      <c r="R4" s="296"/>
      <c r="S4" s="296"/>
      <c r="T4" s="296"/>
      <c r="U4" s="296"/>
      <c r="V4" s="297"/>
    </row>
    <row r="5" spans="1:41" ht="23.25">
      <c r="A5" s="140"/>
      <c r="B5" s="141" t="s">
        <v>19</v>
      </c>
      <c r="C5" s="142"/>
      <c r="D5" s="142"/>
      <c r="E5" s="142"/>
      <c r="G5" s="234"/>
      <c r="H5" s="235"/>
      <c r="I5" s="235"/>
      <c r="J5" s="235"/>
      <c r="K5" s="235"/>
      <c r="L5" s="235"/>
      <c r="M5" s="235"/>
      <c r="N5" s="236"/>
      <c r="O5" s="234"/>
      <c r="P5" s="162"/>
      <c r="Q5" s="162"/>
      <c r="R5" s="162"/>
      <c r="S5" s="162"/>
      <c r="T5" s="162"/>
      <c r="U5" s="162"/>
      <c r="V5" s="237"/>
    </row>
    <row r="6" spans="1:41" ht="12.6" customHeight="1" thickBot="1">
      <c r="A6" s="140"/>
      <c r="B6" s="141"/>
      <c r="C6" s="142"/>
      <c r="D6" s="142"/>
      <c r="E6" s="142"/>
      <c r="F6" s="153"/>
      <c r="G6" s="238"/>
      <c r="H6" s="162"/>
      <c r="I6" s="162"/>
      <c r="J6" s="162"/>
      <c r="K6" s="162"/>
      <c r="L6" s="162"/>
      <c r="M6" s="162"/>
      <c r="N6" s="237"/>
      <c r="O6" s="238"/>
      <c r="P6" s="162"/>
      <c r="Q6" s="162"/>
      <c r="R6" s="162"/>
      <c r="S6" s="162"/>
      <c r="T6" s="162"/>
      <c r="U6" s="162"/>
      <c r="V6" s="237"/>
    </row>
    <row r="7" spans="1:41" ht="15">
      <c r="B7" s="90" t="s">
        <v>237</v>
      </c>
      <c r="C7" s="91">
        <v>1.35</v>
      </c>
      <c r="D7" s="92" t="s">
        <v>12</v>
      </c>
      <c r="E7" s="93" t="str">
        <f>IF(C7&lt;'DDR3 Config'!C16,"ERROR, VCC too Low",IF(C7&gt;'DDR3 Config'!C15,"ERROR, too High",""))</f>
        <v/>
      </c>
      <c r="F7" s="153"/>
      <c r="G7" s="238"/>
      <c r="H7" s="162"/>
      <c r="I7" s="162"/>
      <c r="J7" s="162"/>
      <c r="K7" s="162"/>
      <c r="L7" s="162"/>
      <c r="M7" s="162"/>
      <c r="N7" s="237"/>
      <c r="O7" s="238"/>
      <c r="P7" s="162"/>
      <c r="Q7" s="162"/>
      <c r="R7" s="162"/>
      <c r="S7" s="162"/>
      <c r="T7" s="162"/>
      <c r="U7" s="162"/>
      <c r="V7" s="237"/>
    </row>
    <row r="8" spans="1:41" ht="15">
      <c r="B8" s="95" t="s">
        <v>155</v>
      </c>
      <c r="C8" s="96">
        <v>933</v>
      </c>
      <c r="D8" s="97" t="s">
        <v>11</v>
      </c>
      <c r="E8" s="98" t="str">
        <f>IF(C8+1&lt;1000/'DDR3 Config'!C37,"ERROR, lower of operaitonal frequency range",IF(C8 &gt; 1000 /'DDR3 Config'!C36,"ERROR, higher of operaitonal frequency range",""))</f>
        <v/>
      </c>
      <c r="F8" s="153"/>
      <c r="G8" s="238"/>
      <c r="H8" s="162"/>
      <c r="I8" s="162"/>
      <c r="J8" s="162"/>
      <c r="K8" s="162"/>
      <c r="L8" s="162"/>
      <c r="M8" s="162"/>
      <c r="N8" s="237"/>
      <c r="O8" s="238"/>
      <c r="P8" s="162"/>
      <c r="Q8" s="162"/>
      <c r="R8" s="162"/>
      <c r="S8" s="162"/>
      <c r="T8" s="162"/>
      <c r="U8" s="162"/>
      <c r="V8" s="237"/>
    </row>
    <row r="9" spans="1:41" ht="15">
      <c r="B9" s="95" t="s">
        <v>156</v>
      </c>
      <c r="C9" s="96">
        <v>8</v>
      </c>
      <c r="D9" s="97"/>
      <c r="E9" s="99" t="s">
        <v>63</v>
      </c>
      <c r="F9" s="153"/>
      <c r="G9" s="238"/>
      <c r="H9" s="162"/>
      <c r="I9" s="162"/>
      <c r="J9" s="162"/>
      <c r="K9" s="162"/>
      <c r="L9" s="162"/>
      <c r="M9" s="162"/>
      <c r="N9" s="237"/>
      <c r="O9" s="238"/>
      <c r="P9" s="162"/>
      <c r="Q9" s="162"/>
      <c r="R9" s="162"/>
      <c r="S9" s="162"/>
      <c r="T9" s="162"/>
      <c r="U9" s="162"/>
      <c r="V9" s="237"/>
    </row>
    <row r="10" spans="1:41" ht="15.75" thickBot="1">
      <c r="B10" s="95"/>
      <c r="C10" s="100"/>
      <c r="D10" s="97"/>
      <c r="E10" s="99"/>
      <c r="F10" s="153"/>
      <c r="G10" s="238"/>
      <c r="H10" s="162"/>
      <c r="I10" s="162"/>
      <c r="J10" s="162"/>
      <c r="K10" s="162"/>
      <c r="L10" s="162"/>
      <c r="M10" s="162"/>
      <c r="N10" s="237"/>
      <c r="O10" s="238"/>
      <c r="P10" s="162"/>
      <c r="Q10" s="162"/>
      <c r="R10" s="162"/>
      <c r="S10" s="162"/>
      <c r="T10" s="162"/>
      <c r="U10" s="162"/>
      <c r="V10" s="237"/>
    </row>
    <row r="11" spans="1:41" ht="30" customHeight="1">
      <c r="A11" s="115" t="s">
        <v>84</v>
      </c>
      <c r="B11" s="101" t="s">
        <v>286</v>
      </c>
      <c r="C11" s="164">
        <f>IF(K18= "na",0, K18) +IF(K19= "na",0, K19)</f>
        <v>4.4157057907594846</v>
      </c>
      <c r="D11" s="97" t="s">
        <v>10</v>
      </c>
      <c r="E11" s="298" t="s">
        <v>284</v>
      </c>
      <c r="F11" s="153"/>
      <c r="G11" s="238"/>
      <c r="H11" s="162"/>
      <c r="I11" s="162"/>
      <c r="J11" s="162"/>
      <c r="K11" s="162"/>
      <c r="L11" s="162"/>
      <c r="M11" s="162"/>
      <c r="N11" s="237"/>
      <c r="O11" s="238"/>
      <c r="P11" s="162"/>
      <c r="Q11" s="162"/>
      <c r="R11" s="162"/>
      <c r="S11" s="162"/>
      <c r="T11" s="162"/>
      <c r="U11" s="162"/>
      <c r="V11" s="237"/>
    </row>
    <row r="12" spans="1:41" ht="30" customHeight="1">
      <c r="A12" s="116" t="s">
        <v>85</v>
      </c>
      <c r="B12" s="101" t="s">
        <v>285</v>
      </c>
      <c r="C12" s="164">
        <f>IF(S18= "na",0, S18) +IF(S19= "na",0, S19)</f>
        <v>16.705242301709884</v>
      </c>
      <c r="D12" s="97" t="s">
        <v>10</v>
      </c>
      <c r="E12" s="299"/>
      <c r="F12" s="94"/>
      <c r="G12" s="238"/>
      <c r="H12" s="174" t="s">
        <v>289</v>
      </c>
      <c r="I12" s="162"/>
      <c r="J12" s="162"/>
      <c r="K12" s="162"/>
      <c r="L12" s="162"/>
      <c r="M12" s="162"/>
      <c r="N12" s="237"/>
      <c r="O12" s="238"/>
      <c r="P12" s="174" t="s">
        <v>289</v>
      </c>
      <c r="Q12" s="162"/>
      <c r="R12" s="162"/>
      <c r="S12" s="162"/>
      <c r="T12" s="162"/>
      <c r="U12" s="162"/>
      <c r="V12" s="237"/>
    </row>
    <row r="13" spans="1:41" ht="30" customHeight="1">
      <c r="A13" s="116" t="s">
        <v>87</v>
      </c>
      <c r="B13" s="101" t="s">
        <v>287</v>
      </c>
      <c r="C13" s="164">
        <f>IF(M18= "na",0, M18) +IF(M19= "na",0, M19)</f>
        <v>24.046016086721412</v>
      </c>
      <c r="D13" s="97" t="s">
        <v>10</v>
      </c>
      <c r="E13" s="298" t="s">
        <v>283</v>
      </c>
      <c r="F13" s="94"/>
      <c r="G13" s="238"/>
      <c r="H13" s="154" t="s">
        <v>260</v>
      </c>
      <c r="I13" s="156">
        <v>120</v>
      </c>
      <c r="J13" s="154" t="s">
        <v>258</v>
      </c>
      <c r="K13" s="156">
        <v>34</v>
      </c>
      <c r="L13" s="154" t="s">
        <v>262</v>
      </c>
      <c r="M13" s="156">
        <v>40</v>
      </c>
      <c r="N13" s="237"/>
      <c r="O13" s="238"/>
      <c r="P13" s="154" t="s">
        <v>264</v>
      </c>
      <c r="Q13" s="156">
        <v>34</v>
      </c>
      <c r="R13" s="154" t="s">
        <v>266</v>
      </c>
      <c r="S13" s="156">
        <v>60</v>
      </c>
      <c r="T13" s="154" t="s">
        <v>262</v>
      </c>
      <c r="U13" s="249">
        <f>M13</f>
        <v>40</v>
      </c>
      <c r="V13" s="237"/>
      <c r="X13" s="239" t="s">
        <v>276</v>
      </c>
      <c r="Y13" s="240">
        <f>1*Q17/Q13</f>
        <v>13.171662895927604</v>
      </c>
      <c r="Z13" s="239"/>
      <c r="AA13" s="239" t="s">
        <v>278</v>
      </c>
      <c r="AB13" s="240">
        <f>1000*((Q15-0.001*S17)/S13)</f>
        <v>14.590639140271495</v>
      </c>
      <c r="AC13" s="239"/>
      <c r="AD13" s="239" t="s">
        <v>278</v>
      </c>
      <c r="AE13" s="240">
        <f>1000*((Q15-0.001*U17)/U13)</f>
        <v>20.120192307692307</v>
      </c>
      <c r="AF13" s="241"/>
      <c r="AG13" s="241"/>
      <c r="AH13" s="241"/>
      <c r="AI13" s="241"/>
      <c r="AJ13" s="241"/>
      <c r="AK13" s="241"/>
      <c r="AL13" s="241"/>
      <c r="AM13" s="241"/>
      <c r="AN13" s="241"/>
      <c r="AO13" s="162"/>
    </row>
    <row r="14" spans="1:41" ht="30" customHeight="1">
      <c r="A14" s="116" t="s">
        <v>86</v>
      </c>
      <c r="B14" s="101" t="s">
        <v>288</v>
      </c>
      <c r="C14" s="164">
        <f>IF(U18= "na",0, U18) +IF(U19= "na",0, U19)</f>
        <v>24.255628235946748</v>
      </c>
      <c r="D14" s="97" t="s">
        <v>10</v>
      </c>
      <c r="E14" s="299"/>
      <c r="F14" s="94"/>
      <c r="G14" s="238"/>
      <c r="H14" s="155" t="s">
        <v>261</v>
      </c>
      <c r="I14" s="157">
        <v>120</v>
      </c>
      <c r="J14" s="155" t="s">
        <v>259</v>
      </c>
      <c r="K14" s="157">
        <v>15</v>
      </c>
      <c r="L14" s="160" t="s">
        <v>263</v>
      </c>
      <c r="M14" s="161">
        <v>40</v>
      </c>
      <c r="N14" s="237"/>
      <c r="O14" s="238"/>
      <c r="P14" s="155" t="s">
        <v>250</v>
      </c>
      <c r="Q14" s="242"/>
      <c r="R14" s="160" t="s">
        <v>265</v>
      </c>
      <c r="S14" s="161">
        <v>60</v>
      </c>
      <c r="T14" s="160" t="s">
        <v>263</v>
      </c>
      <c r="U14" s="249">
        <f>M14</f>
        <v>40</v>
      </c>
      <c r="V14" s="237"/>
      <c r="X14" s="241"/>
      <c r="Y14" s="241"/>
      <c r="Z14" s="241"/>
      <c r="AA14" s="239" t="s">
        <v>277</v>
      </c>
      <c r="AB14" s="240">
        <f>1*S17/S14</f>
        <v>7.9093608597285074</v>
      </c>
      <c r="AC14" s="239"/>
      <c r="AD14" s="239" t="s">
        <v>277</v>
      </c>
      <c r="AE14" s="240">
        <f>1*U17/U14</f>
        <v>13.629807692307693</v>
      </c>
      <c r="AF14" s="241"/>
      <c r="AG14" s="241"/>
      <c r="AH14" s="241"/>
      <c r="AI14" s="241"/>
      <c r="AJ14" s="241"/>
      <c r="AK14" s="241"/>
      <c r="AL14" s="241"/>
      <c r="AM14" s="241"/>
      <c r="AN14" s="241"/>
      <c r="AO14" s="162"/>
    </row>
    <row r="15" spans="1:41" ht="18" customHeight="1">
      <c r="A15" s="116"/>
      <c r="B15" s="101"/>
      <c r="C15" s="103"/>
      <c r="D15" s="97"/>
      <c r="E15" s="104"/>
      <c r="F15" s="94"/>
      <c r="G15" s="238"/>
      <c r="H15" s="158" t="s">
        <v>269</v>
      </c>
      <c r="I15" s="243">
        <f>$C$7</f>
        <v>1.35</v>
      </c>
      <c r="J15" s="159"/>
      <c r="K15" s="159"/>
      <c r="L15" s="155" t="s">
        <v>272</v>
      </c>
      <c r="M15" s="157">
        <v>15</v>
      </c>
      <c r="N15" s="237"/>
      <c r="O15" s="238"/>
      <c r="P15" s="158" t="s">
        <v>269</v>
      </c>
      <c r="Q15" s="243">
        <f>$C$7</f>
        <v>1.35</v>
      </c>
      <c r="R15" s="155" t="s">
        <v>259</v>
      </c>
      <c r="S15" s="157">
        <v>4</v>
      </c>
      <c r="T15" s="155" t="s">
        <v>272</v>
      </c>
      <c r="U15" s="249">
        <f>M15</f>
        <v>15</v>
      </c>
      <c r="V15" s="237"/>
      <c r="X15" s="241"/>
      <c r="Y15" s="241"/>
      <c r="Z15" s="241"/>
      <c r="AA15" s="239" t="s">
        <v>279</v>
      </c>
      <c r="AB15" s="240">
        <f>1*(S17-Q17)/S15</f>
        <v>6.6812782805429833</v>
      </c>
      <c r="AC15" s="239"/>
      <c r="AD15" s="239" t="s">
        <v>279</v>
      </c>
      <c r="AE15" s="240">
        <f>1*(U17-Q17)/U15</f>
        <v>6.490384615384615</v>
      </c>
      <c r="AF15" s="241"/>
      <c r="AG15" s="241"/>
      <c r="AH15" s="241"/>
      <c r="AI15" s="241"/>
      <c r="AJ15" s="241"/>
      <c r="AK15" s="241"/>
      <c r="AL15" s="241"/>
      <c r="AM15" s="241"/>
      <c r="AN15" s="241"/>
      <c r="AO15" s="162"/>
    </row>
    <row r="16" spans="1:41" ht="28.5">
      <c r="A16" s="116" t="s">
        <v>83</v>
      </c>
      <c r="B16" s="101" t="s">
        <v>157</v>
      </c>
      <c r="C16" s="105">
        <v>0.25</v>
      </c>
      <c r="D16" s="97"/>
      <c r="E16" s="104"/>
      <c r="F16" s="94"/>
      <c r="G16" s="238"/>
      <c r="H16" s="174" t="s">
        <v>290</v>
      </c>
      <c r="I16" s="162"/>
      <c r="J16" s="162"/>
      <c r="K16" s="162"/>
      <c r="L16" s="162"/>
      <c r="M16" s="162"/>
      <c r="N16" s="237"/>
      <c r="O16" s="238"/>
      <c r="P16" s="174" t="s">
        <v>290</v>
      </c>
      <c r="Q16" s="162"/>
      <c r="R16" s="162"/>
      <c r="S16" s="244"/>
      <c r="T16" s="162"/>
      <c r="U16" s="244"/>
      <c r="V16" s="237"/>
      <c r="W16" s="162"/>
      <c r="X16" s="241"/>
      <c r="Y16" s="241"/>
      <c r="Z16" s="241"/>
      <c r="AA16" s="241"/>
      <c r="AB16" s="241"/>
      <c r="AC16" s="241"/>
      <c r="AD16" s="241"/>
      <c r="AE16" s="241"/>
      <c r="AF16" s="241"/>
      <c r="AG16" s="241"/>
      <c r="AH16" s="241"/>
      <c r="AI16" s="241"/>
      <c r="AJ16" s="241"/>
      <c r="AK16" s="241"/>
      <c r="AL16" s="241"/>
      <c r="AM16" s="241"/>
      <c r="AN16" s="241"/>
      <c r="AO16" s="162"/>
    </row>
    <row r="17" spans="1:41" ht="28.5">
      <c r="A17" s="116" t="s">
        <v>133</v>
      </c>
      <c r="B17" s="101" t="s">
        <v>3</v>
      </c>
      <c r="C17" s="105">
        <v>0.25</v>
      </c>
      <c r="D17" s="97"/>
      <c r="E17" s="102"/>
      <c r="F17" s="94"/>
      <c r="G17" s="238"/>
      <c r="H17" s="163" t="s">
        <v>280</v>
      </c>
      <c r="I17" s="165">
        <f>IF(I15&gt;0,1000*((I15/2)*(K13+K14)/((K13+K14)+IF(M13&gt;0,IF(M14&gt;0,(((I13*I14)/(I13+I14))*((M13*M14)/(M13+M14)+M15)/((I13*I14)/(I13+I14)+((M13*M14)/(M13+M14)+M15))),(I13*I14)/(I13+I14)),(I13*I14)/(I13+I14)))),"na")</f>
        <v>465.15544041450778</v>
      </c>
      <c r="J17" s="163" t="s">
        <v>281</v>
      </c>
      <c r="K17" s="165">
        <f>IF(K13&gt;0,         1000* (       I17*0.001  *K13/(K13+K14)),"na")</f>
        <v>322.76091783863808</v>
      </c>
      <c r="L17" s="163" t="s">
        <v>282</v>
      </c>
      <c r="M17" s="165">
        <f xml:space="preserve">   IF(M13&gt;0,       IF(M14&gt;0,      1000*         ( I17*0.001+ 1*M15* ( I17*0.001/(K13+K14)  - 0.004)),   "na"),   "na")</f>
        <v>547.54996299037748</v>
      </c>
      <c r="N17" s="237"/>
      <c r="O17" s="238"/>
      <c r="P17" s="163" t="s">
        <v>280</v>
      </c>
      <c r="Q17" s="165">
        <f>IF(Q15&gt;0,   1000*( (Q15/2 ) *   Q13    / (    IF(U13&gt;0, IF(U14&gt;0,    ( ( ((S13*S14)/(S13+S14)+S15 ) *  ((U13*U14)/(U13+U14)+U15)) / ( ((S13*S14)/(S13+S14)+S15)  +  ((U13*U14)/(U13+U14)+U15))), ((S13*S14)/(S13+S14)+S15 ) ), ((S13*S14)/(S13+S14)+S15 ) )        +Q13)      ),"na")</f>
        <v>447.83653846153851</v>
      </c>
      <c r="R17" s="163" t="s">
        <v>281</v>
      </c>
      <c r="S17" s="165">
        <f>IF(S13&gt;0,IF(S14&gt;0,    Q17+    (1000*Q15/2-Q17)     *     S15 /  ((S13*S14)/(S13+S14) + S15 ),"na"),"na")</f>
        <v>474.56165158371044</v>
      </c>
      <c r="T17" s="163" t="s">
        <v>282</v>
      </c>
      <c r="U17" s="165">
        <f>IF(U13&gt;0,IF(U14&gt;0,    Q17+    (1000*Q15/2-Q17)     *     U15 /  ((U13*U14)/(U13+U14) + U15 ),"na"),"na")</f>
        <v>545.19230769230774</v>
      </c>
      <c r="V17" s="237"/>
      <c r="W17" s="162"/>
      <c r="X17" s="241"/>
      <c r="Y17" s="241"/>
      <c r="Z17" s="241"/>
      <c r="AA17" s="241"/>
      <c r="AB17" s="241"/>
      <c r="AC17" s="241"/>
      <c r="AD17" s="241"/>
      <c r="AE17" s="241"/>
      <c r="AF17" s="241"/>
      <c r="AG17" s="241"/>
      <c r="AH17" s="241"/>
      <c r="AI17" s="241"/>
      <c r="AJ17" s="241"/>
      <c r="AK17" s="241"/>
      <c r="AL17" s="241"/>
      <c r="AM17" s="241"/>
      <c r="AN17" s="241"/>
      <c r="AO17" s="162"/>
    </row>
    <row r="18" spans="1:41" ht="28.5">
      <c r="A18" s="116" t="s">
        <v>134</v>
      </c>
      <c r="B18" s="101" t="s">
        <v>6</v>
      </c>
      <c r="C18" s="105">
        <v>0.25</v>
      </c>
      <c r="D18" s="97"/>
      <c r="E18" s="98" t="str">
        <f>IF(1-C18&lt;C22+C23,"ERROR, CKE HI must be greater than READ and WRITE output cycles","")</f>
        <v/>
      </c>
      <c r="F18" s="94"/>
      <c r="G18" s="238"/>
      <c r="H18" s="163" t="s">
        <v>267</v>
      </c>
      <c r="I18" s="166">
        <f>IF(I13&gt;0,IF(I14&gt;0,  1000*   (((I15-I17*0.001)/I13)*((I15-I17*0.001)/I13)*I13)  +  1000*   (((I17*0.001)/I14)*((I17*0.001)/I14)*I14),"na"),"na")</f>
        <v>8.3276623197938218</v>
      </c>
      <c r="J18" s="163" t="s">
        <v>268</v>
      </c>
      <c r="K18" s="166">
        <f xml:space="preserve">    IF(K13&gt;0,         1000*  (I17*0.001/(K13+K14)) * (I17*0.001/(K13+K14))   *K13, "na")</f>
        <v>3.0639591201188261</v>
      </c>
      <c r="L18" s="163" t="s">
        <v>274</v>
      </c>
      <c r="M18" s="166">
        <f>IF(M13&gt;0,IF(M14&gt;0,(1000*(((I15-0.001*M17)/M13)*((I15-0.001*M17)/M13)*M13   +  (0.001*M17/M14)*(0.001*M17/M14)*M14) ),"na"),"na")</f>
        <v>23.593425596687712</v>
      </c>
      <c r="N18" s="237"/>
      <c r="O18" s="238"/>
      <c r="P18" s="163" t="s">
        <v>268</v>
      </c>
      <c r="Q18" s="166">
        <f xml:space="preserve">    IF(Q13&gt;0,         0.001*  (Q17/(Q13)) * (Q17/(Q13))    *Q13, "na")</f>
        <v>5.8987519170945024</v>
      </c>
      <c r="R18" s="163" t="s">
        <v>275</v>
      </c>
      <c r="S18" s="166">
        <f>IF(S13&gt;0,IF(S14&gt;0,   1000*( (1*          ((Q15-0.001*S17)/S13)  * ((Q15-0.001*S17)/S13) *S13     +     (0.001*S17/S14) * (0.001*S17/S14) *S13   )),"na"),"na")</f>
        <v>16.526684383861664</v>
      </c>
      <c r="T18" s="163" t="s">
        <v>274</v>
      </c>
      <c r="U18" s="166">
        <f>IF(U13&gt;0,IF(U14&gt;0,    1000*(1*          ((Q15-0.001*U17)/U13)  * ((Q15-0.001*U17)/U13) *U13     +     (0.001*U17/U14) * (0.001*U17/U14) *U13   ),"na"),"na")</f>
        <v>23.623751849112427</v>
      </c>
      <c r="V18" s="237"/>
      <c r="W18" s="162"/>
      <c r="X18" s="241"/>
      <c r="Y18" s="241"/>
      <c r="Z18" s="241"/>
      <c r="AA18" s="241"/>
      <c r="AB18" s="241"/>
      <c r="AC18" s="241"/>
      <c r="AD18" s="241"/>
      <c r="AE18" s="241"/>
      <c r="AF18" s="241"/>
      <c r="AG18" s="241"/>
      <c r="AH18" s="241"/>
      <c r="AI18" s="241"/>
      <c r="AJ18" s="241"/>
      <c r="AK18" s="241"/>
      <c r="AL18" s="241"/>
      <c r="AM18" s="241"/>
      <c r="AN18" s="241"/>
      <c r="AO18" s="162"/>
    </row>
    <row r="19" spans="1:41" ht="25.5">
      <c r="A19" s="116"/>
      <c r="B19" s="101"/>
      <c r="C19" s="106"/>
      <c r="D19" s="97"/>
      <c r="E19" s="98"/>
      <c r="F19" s="94"/>
      <c r="G19" s="238"/>
      <c r="H19" s="162"/>
      <c r="I19" s="162"/>
      <c r="J19" s="163" t="s">
        <v>270</v>
      </c>
      <c r="K19" s="166">
        <f>IF(K13&gt;0,IF(K14&gt;0,1000*(I17*0.001/(K13+K14))*(I17*0.001/(K13+K14))*K14,"na"),"na")</f>
        <v>1.3517466706406587</v>
      </c>
      <c r="L19" s="163" t="s">
        <v>271</v>
      </c>
      <c r="M19" s="167">
        <f>IF(M13&gt;0,IF(M14&gt;0,     IF(M15&gt;0,         1000*(   ( (0.001*M17-0.001*I17)/M15) * ( (0.001*M17-0.001*I17)/M15)* M15),"na"),"na"),"na")</f>
        <v>0.45259049003370028</v>
      </c>
      <c r="N19" s="237"/>
      <c r="O19" s="238"/>
      <c r="P19" s="162"/>
      <c r="Q19" s="162"/>
      <c r="R19" s="163" t="s">
        <v>273</v>
      </c>
      <c r="S19" s="167">
        <f>IF(S13&gt;0,IF(S14&gt;0,     IF(S15&gt;0,0.001*((       ((S17-Q17)/S15) * ((S17-Q17)/S15)   *  S15               )   ),0),"na"),"na")</f>
        <v>0.17855791784822161</v>
      </c>
      <c r="T19" s="163" t="s">
        <v>271</v>
      </c>
      <c r="U19" s="166">
        <f>IF(U13&gt;0,IF(U14&gt;0,     IF(U15&gt;0,   0.001*(       ((U17-Q17)/U15) * ((U17-Q17)/U15)   *  U15                  ),0),"na"),"na")</f>
        <v>0.63187638683431957</v>
      </c>
      <c r="V19" s="237"/>
      <c r="W19" s="162"/>
      <c r="X19" s="241"/>
      <c r="Y19" s="241"/>
      <c r="Z19" s="241"/>
      <c r="AA19" s="241"/>
      <c r="AB19" s="241"/>
      <c r="AC19" s="241"/>
      <c r="AD19" s="241"/>
      <c r="AE19" s="241"/>
      <c r="AF19" s="241"/>
      <c r="AG19" s="241"/>
      <c r="AH19" s="241"/>
      <c r="AI19" s="241"/>
      <c r="AJ19" s="241"/>
      <c r="AK19" s="241"/>
      <c r="AL19" s="241"/>
      <c r="AM19" s="241"/>
      <c r="AN19" s="241"/>
      <c r="AO19" s="162"/>
    </row>
    <row r="20" spans="1:41" ht="15">
      <c r="A20" s="116" t="s">
        <v>130</v>
      </c>
      <c r="B20" s="101" t="s">
        <v>158</v>
      </c>
      <c r="C20" s="105">
        <v>0.5</v>
      </c>
      <c r="D20" s="97"/>
      <c r="E20" s="98"/>
      <c r="F20" s="94"/>
      <c r="G20" s="238"/>
      <c r="H20" s="162"/>
      <c r="I20" s="162"/>
      <c r="J20" s="162"/>
      <c r="K20" s="162"/>
      <c r="L20" s="162"/>
      <c r="M20" s="162"/>
      <c r="N20" s="237"/>
      <c r="O20" s="238"/>
      <c r="P20" s="162"/>
      <c r="Q20" s="162"/>
      <c r="R20" s="162"/>
      <c r="S20" s="162"/>
      <c r="T20" s="162"/>
      <c r="U20" s="162"/>
      <c r="V20" s="237"/>
      <c r="W20" s="162"/>
      <c r="X20" s="241">
        <v>1.5</v>
      </c>
      <c r="Y20" s="241"/>
      <c r="Z20" s="241"/>
      <c r="AA20" s="241"/>
      <c r="AB20" s="241"/>
      <c r="AC20" s="241"/>
      <c r="AD20" s="241"/>
      <c r="AE20" s="241"/>
      <c r="AF20" s="241"/>
      <c r="AG20" s="241"/>
      <c r="AH20" s="241"/>
      <c r="AI20" s="241"/>
      <c r="AJ20" s="241"/>
      <c r="AK20" s="241"/>
      <c r="AL20" s="241"/>
      <c r="AM20" s="241"/>
      <c r="AN20" s="241"/>
      <c r="AO20" s="162"/>
    </row>
    <row r="21" spans="1:41" ht="15.75" thickBot="1">
      <c r="A21" s="116"/>
      <c r="B21" s="101"/>
      <c r="C21" s="106"/>
      <c r="D21" s="97"/>
      <c r="E21" s="98"/>
      <c r="F21" s="94"/>
      <c r="G21" s="245"/>
      <c r="H21" s="246"/>
      <c r="I21" s="246"/>
      <c r="J21" s="246"/>
      <c r="K21" s="246"/>
      <c r="L21" s="246"/>
      <c r="M21" s="246"/>
      <c r="N21" s="247"/>
      <c r="O21" s="245"/>
      <c r="P21" s="246"/>
      <c r="Q21" s="246"/>
      <c r="R21" s="246"/>
      <c r="S21" s="246"/>
      <c r="T21" s="246"/>
      <c r="U21" s="246"/>
      <c r="V21" s="247"/>
      <c r="W21" s="162"/>
      <c r="X21" s="241">
        <v>1.35</v>
      </c>
      <c r="Y21" s="241"/>
      <c r="Z21" s="241"/>
      <c r="AA21" s="241"/>
      <c r="AB21" s="241"/>
      <c r="AC21" s="241"/>
      <c r="AD21" s="241"/>
      <c r="AE21" s="241"/>
      <c r="AF21" s="241"/>
      <c r="AG21" s="241"/>
      <c r="AH21" s="241"/>
      <c r="AI21" s="241"/>
      <c r="AJ21" s="241"/>
      <c r="AK21" s="241"/>
      <c r="AL21" s="241"/>
      <c r="AM21" s="241"/>
      <c r="AN21" s="241"/>
      <c r="AO21" s="162"/>
    </row>
    <row r="22" spans="1:41" ht="28.5">
      <c r="A22" s="116" t="s">
        <v>128</v>
      </c>
      <c r="B22" s="101" t="s">
        <v>159</v>
      </c>
      <c r="C22" s="105">
        <v>0.3</v>
      </c>
      <c r="D22" s="97"/>
      <c r="E22" s="98" t="str">
        <f>IF(SUM(C22+C23+C25+C26)*8/C9&gt;1,"Data Bus utilization is too high","")</f>
        <v/>
      </c>
      <c r="F22" s="94"/>
      <c r="G22" s="162"/>
      <c r="H22" s="162"/>
      <c r="I22" s="162"/>
      <c r="J22" s="162"/>
      <c r="K22" s="162"/>
      <c r="L22" s="162"/>
      <c r="M22" s="162" t="s">
        <v>250</v>
      </c>
      <c r="N22" s="162"/>
      <c r="O22" s="162"/>
      <c r="P22" s="162"/>
      <c r="Q22" s="162"/>
      <c r="R22" s="162"/>
      <c r="S22" s="162"/>
      <c r="W22" s="162"/>
      <c r="X22" s="241"/>
      <c r="Y22" s="241"/>
      <c r="Z22" s="241"/>
      <c r="AA22" s="241"/>
      <c r="AB22" s="241"/>
      <c r="AC22" s="241"/>
      <c r="AD22" s="241"/>
      <c r="AE22" s="241"/>
      <c r="AF22" s="241"/>
      <c r="AG22" s="241"/>
      <c r="AH22" s="241"/>
      <c r="AI22" s="241"/>
      <c r="AJ22" s="241"/>
      <c r="AK22" s="241"/>
      <c r="AL22" s="241"/>
      <c r="AM22" s="241"/>
      <c r="AN22" s="241"/>
      <c r="AO22" s="162"/>
    </row>
    <row r="23" spans="1:41" ht="28.5">
      <c r="A23" s="116" t="s">
        <v>129</v>
      </c>
      <c r="B23" s="101" t="s">
        <v>160</v>
      </c>
      <c r="C23" s="105">
        <v>0.3</v>
      </c>
      <c r="D23" s="97"/>
      <c r="E23" s="104"/>
      <c r="F23" s="94"/>
      <c r="G23" s="162"/>
      <c r="H23" s="162"/>
      <c r="I23" s="162"/>
      <c r="J23" s="162"/>
      <c r="K23" s="162"/>
      <c r="L23" s="162"/>
      <c r="M23" s="162"/>
      <c r="N23" s="162"/>
      <c r="O23" s="162"/>
      <c r="P23" s="162"/>
      <c r="Q23" s="162"/>
      <c r="R23" s="162"/>
      <c r="S23" s="162"/>
      <c r="W23" s="162"/>
      <c r="X23" s="241"/>
      <c r="Y23" s="241"/>
      <c r="Z23" s="241"/>
      <c r="AA23" s="241"/>
      <c r="AB23" s="241"/>
      <c r="AC23" s="241"/>
      <c r="AD23" s="241"/>
      <c r="AE23" s="241"/>
      <c r="AF23" s="241"/>
      <c r="AG23" s="241"/>
      <c r="AH23" s="241"/>
      <c r="AI23" s="241"/>
      <c r="AJ23" s="241"/>
      <c r="AK23" s="241"/>
      <c r="AL23" s="241"/>
      <c r="AM23" s="241"/>
      <c r="AN23" s="241"/>
      <c r="AO23" s="162"/>
    </row>
    <row r="24" spans="1:41" ht="15">
      <c r="A24" s="116"/>
      <c r="B24" s="107"/>
      <c r="C24" s="172">
        <f>C22/(C23+C22)</f>
        <v>0.5</v>
      </c>
      <c r="D24" s="97"/>
      <c r="E24" s="104" t="s">
        <v>293</v>
      </c>
      <c r="F24" s="94"/>
      <c r="G24" s="162"/>
      <c r="H24" s="162"/>
      <c r="I24" s="162"/>
      <c r="J24" s="162"/>
      <c r="K24" s="162"/>
      <c r="L24" s="162"/>
      <c r="M24" s="162"/>
      <c r="N24" s="162"/>
      <c r="O24" s="162"/>
      <c r="P24" s="162"/>
      <c r="Q24" s="162"/>
      <c r="R24" s="162"/>
      <c r="S24" s="162"/>
      <c r="W24" s="162"/>
      <c r="X24" s="241"/>
      <c r="Y24" s="241"/>
      <c r="Z24" s="241"/>
      <c r="AA24" s="241"/>
      <c r="AB24" s="241"/>
      <c r="AC24" s="241"/>
      <c r="AD24" s="241"/>
      <c r="AE24" s="241"/>
      <c r="AF24" s="241"/>
      <c r="AG24" s="241"/>
      <c r="AH24" s="241"/>
      <c r="AI24" s="241"/>
      <c r="AJ24" s="241"/>
      <c r="AK24" s="241"/>
      <c r="AL24" s="241"/>
      <c r="AM24" s="241"/>
      <c r="AN24" s="241"/>
      <c r="AO24" s="162"/>
    </row>
    <row r="25" spans="1:41" ht="28.5">
      <c r="A25" s="116" t="s">
        <v>131</v>
      </c>
      <c r="B25" s="101" t="s">
        <v>29</v>
      </c>
      <c r="C25" s="105">
        <v>0</v>
      </c>
      <c r="D25" s="97"/>
      <c r="E25" s="104" t="s">
        <v>199</v>
      </c>
      <c r="F25" s="94"/>
      <c r="G25" s="162"/>
      <c r="H25" s="162"/>
      <c r="I25" s="162"/>
      <c r="J25" s="162"/>
      <c r="K25" s="162"/>
      <c r="L25" s="162"/>
      <c r="M25" s="162"/>
      <c r="N25" s="162"/>
      <c r="O25" s="162"/>
      <c r="P25" s="162"/>
      <c r="Q25" s="162"/>
      <c r="R25" s="162"/>
      <c r="S25" s="162"/>
      <c r="W25" s="162"/>
      <c r="X25" s="241"/>
      <c r="Y25" s="241"/>
      <c r="Z25" s="241"/>
      <c r="AA25" s="241"/>
      <c r="AB25" s="241"/>
      <c r="AC25" s="241"/>
      <c r="AD25" s="241"/>
      <c r="AE25" s="241"/>
      <c r="AF25" s="241"/>
      <c r="AG25" s="241"/>
      <c r="AH25" s="241"/>
      <c r="AI25" s="241"/>
      <c r="AJ25" s="241"/>
      <c r="AK25" s="241"/>
      <c r="AL25" s="241"/>
      <c r="AM25" s="241"/>
      <c r="AN25" s="241"/>
      <c r="AO25" s="162"/>
    </row>
    <row r="26" spans="1:41" ht="28.5">
      <c r="A26" s="116" t="s">
        <v>132</v>
      </c>
      <c r="B26" s="101" t="s">
        <v>28</v>
      </c>
      <c r="C26" s="105">
        <v>0</v>
      </c>
      <c r="D26" s="97"/>
      <c r="E26" s="104" t="s">
        <v>199</v>
      </c>
      <c r="F26" s="94"/>
      <c r="G26" s="162"/>
      <c r="H26" s="162"/>
      <c r="I26" s="162"/>
      <c r="J26" s="162"/>
      <c r="K26" s="162"/>
      <c r="L26" s="162"/>
      <c r="M26" s="162"/>
      <c r="N26" s="162"/>
      <c r="O26" s="162"/>
      <c r="P26" s="162"/>
      <c r="Q26" s="162"/>
      <c r="R26" s="162"/>
      <c r="S26" s="162"/>
      <c r="W26" s="162"/>
      <c r="X26" s="241"/>
      <c r="Y26" s="241"/>
      <c r="Z26" s="241"/>
      <c r="AA26" s="241"/>
      <c r="AB26" s="241"/>
      <c r="AC26" s="241"/>
      <c r="AD26" s="241"/>
      <c r="AE26" s="241"/>
      <c r="AF26" s="241"/>
      <c r="AG26" s="241"/>
      <c r="AH26" s="241"/>
      <c r="AI26" s="241"/>
      <c r="AJ26" s="241"/>
      <c r="AK26" s="241"/>
      <c r="AL26" s="241"/>
      <c r="AM26" s="241"/>
      <c r="AN26" s="241"/>
      <c r="AO26" s="162"/>
    </row>
    <row r="27" spans="1:41" ht="14.25">
      <c r="A27" s="116"/>
      <c r="B27" s="101"/>
      <c r="C27" s="108"/>
      <c r="D27" s="97"/>
      <c r="E27" s="104"/>
      <c r="F27" s="94"/>
      <c r="G27" s="162"/>
      <c r="H27" s="162"/>
      <c r="I27" s="162"/>
      <c r="J27" s="162"/>
      <c r="K27" s="162"/>
      <c r="L27" s="162"/>
      <c r="M27" s="162"/>
      <c r="N27" s="162"/>
      <c r="O27" s="162"/>
      <c r="P27" s="162"/>
      <c r="Q27" s="162"/>
      <c r="R27" s="162"/>
      <c r="S27" s="162"/>
      <c r="W27" s="162"/>
      <c r="X27" s="241"/>
      <c r="Y27" s="241"/>
      <c r="Z27" s="241"/>
      <c r="AA27" s="241"/>
      <c r="AB27" s="241"/>
      <c r="AC27" s="241"/>
      <c r="AD27" s="241"/>
      <c r="AE27" s="241"/>
      <c r="AF27" s="241"/>
      <c r="AG27" s="241"/>
      <c r="AH27" s="241"/>
      <c r="AI27" s="241"/>
      <c r="AJ27" s="241"/>
      <c r="AK27" s="241"/>
      <c r="AL27" s="241"/>
      <c r="AM27" s="241"/>
      <c r="AN27" s="241"/>
      <c r="AO27" s="162"/>
    </row>
    <row r="28" spans="1:41" ht="43.5" thickBot="1">
      <c r="A28" s="126" t="s">
        <v>202</v>
      </c>
      <c r="B28" s="109" t="s">
        <v>77</v>
      </c>
      <c r="C28" s="110">
        <f>INT(C40*10000/C8)/10</f>
        <v>14.2</v>
      </c>
      <c r="D28" s="111" t="s">
        <v>36</v>
      </c>
      <c r="E28" s="98" t="s">
        <v>332</v>
      </c>
      <c r="F28" s="94" t="s">
        <v>250</v>
      </c>
      <c r="G28" s="162"/>
      <c r="H28" s="162"/>
      <c r="I28" s="162"/>
      <c r="J28" s="162"/>
      <c r="K28" s="162"/>
      <c r="L28" s="162"/>
      <c r="M28" s="162"/>
      <c r="N28" s="162"/>
      <c r="O28" s="162" t="s">
        <v>250</v>
      </c>
      <c r="P28" s="162"/>
      <c r="Q28" s="162"/>
      <c r="R28" s="162"/>
      <c r="S28" s="162"/>
      <c r="W28" s="162"/>
      <c r="X28" s="241"/>
      <c r="Y28" s="241"/>
      <c r="Z28" s="241"/>
      <c r="AA28" s="241"/>
      <c r="AB28" s="241"/>
      <c r="AC28" s="241"/>
      <c r="AD28" s="241"/>
      <c r="AE28" s="241"/>
      <c r="AF28" s="241"/>
      <c r="AG28" s="241"/>
      <c r="AH28" s="241"/>
      <c r="AI28" s="241"/>
      <c r="AJ28" s="241"/>
      <c r="AK28" s="241"/>
      <c r="AL28" s="241"/>
      <c r="AM28" s="241"/>
      <c r="AN28" s="241"/>
      <c r="AO28" s="162"/>
    </row>
    <row r="29" spans="1:41" ht="43.5" thickBot="1">
      <c r="B29" s="112"/>
      <c r="C29" s="112"/>
      <c r="D29" s="113"/>
      <c r="E29" s="152" t="s">
        <v>294</v>
      </c>
      <c r="F29" s="114"/>
      <c r="G29" s="162"/>
      <c r="H29" s="162"/>
      <c r="I29" s="162"/>
      <c r="J29" s="162"/>
      <c r="K29" s="162"/>
      <c r="L29" s="162"/>
      <c r="M29" s="162"/>
      <c r="N29" s="162"/>
      <c r="O29" s="162"/>
      <c r="P29" s="162"/>
      <c r="Q29" s="162"/>
      <c r="R29" s="162"/>
      <c r="S29" s="162"/>
      <c r="W29" s="162"/>
      <c r="X29" s="241"/>
      <c r="Y29" s="241"/>
      <c r="Z29" s="241"/>
      <c r="AA29" s="241"/>
      <c r="AB29" s="241"/>
      <c r="AC29" s="241"/>
      <c r="AD29" s="241"/>
      <c r="AE29" s="241"/>
      <c r="AF29" s="241"/>
      <c r="AG29" s="241"/>
      <c r="AH29" s="241"/>
      <c r="AI29" s="241"/>
      <c r="AJ29" s="241"/>
      <c r="AK29" s="241"/>
      <c r="AL29" s="241"/>
      <c r="AM29" s="241"/>
      <c r="AN29" s="241"/>
      <c r="AO29" s="162"/>
    </row>
    <row r="30" spans="1:41" ht="13.5" hidden="1" thickBot="1">
      <c r="G30" s="162"/>
      <c r="H30" s="162"/>
      <c r="I30" s="162"/>
      <c r="J30" s="162"/>
      <c r="K30" s="162"/>
      <c r="L30" s="162"/>
      <c r="M30" s="162"/>
      <c r="N30" s="162"/>
      <c r="O30" s="162"/>
      <c r="P30" s="162"/>
      <c r="Q30" s="162"/>
      <c r="R30" s="162"/>
      <c r="S30" s="162"/>
      <c r="W30" s="162"/>
      <c r="X30" s="241"/>
      <c r="Y30" s="241"/>
      <c r="Z30" s="241"/>
      <c r="AA30" s="241"/>
      <c r="AB30" s="241"/>
      <c r="AC30" s="241"/>
      <c r="AD30" s="241"/>
      <c r="AE30" s="241"/>
      <c r="AF30" s="241"/>
      <c r="AG30" s="241"/>
      <c r="AH30" s="241"/>
      <c r="AI30" s="241"/>
      <c r="AJ30" s="241"/>
      <c r="AK30" s="241"/>
      <c r="AL30" s="241"/>
      <c r="AM30" s="241"/>
      <c r="AN30" s="241"/>
      <c r="AO30" s="162"/>
    </row>
    <row r="31" spans="1:41" ht="24" hidden="1" customHeight="1">
      <c r="G31" s="162"/>
      <c r="H31" s="162"/>
      <c r="I31" s="162"/>
      <c r="J31" s="162"/>
      <c r="K31" s="162"/>
      <c r="L31" s="162"/>
      <c r="M31" s="162"/>
      <c r="N31" s="162"/>
      <c r="O31" s="162"/>
      <c r="P31" s="162"/>
      <c r="Q31" s="162"/>
      <c r="R31" s="162"/>
      <c r="S31" s="162"/>
      <c r="W31" s="162"/>
      <c r="X31" s="241"/>
      <c r="Y31" s="241"/>
      <c r="Z31" s="241"/>
      <c r="AA31" s="241"/>
      <c r="AB31" s="241"/>
      <c r="AC31" s="241"/>
      <c r="AD31" s="241"/>
      <c r="AE31" s="241"/>
      <c r="AF31" s="241"/>
      <c r="AG31" s="241"/>
      <c r="AH31" s="241"/>
      <c r="AI31" s="241"/>
      <c r="AJ31" s="241"/>
      <c r="AK31" s="241"/>
      <c r="AL31" s="241"/>
      <c r="AM31" s="241"/>
      <c r="AN31" s="241"/>
      <c r="AO31" s="162"/>
    </row>
    <row r="32" spans="1:41" ht="26.25" hidden="1" customHeight="1">
      <c r="G32" s="162"/>
      <c r="H32" s="162"/>
      <c r="I32" s="162"/>
      <c r="J32" s="162"/>
      <c r="K32" s="162"/>
      <c r="L32" s="162"/>
      <c r="M32" s="162"/>
      <c r="N32" s="162"/>
      <c r="O32" s="162"/>
      <c r="P32" s="162"/>
      <c r="Q32" s="162"/>
      <c r="R32" s="162"/>
      <c r="S32" s="162"/>
      <c r="W32" s="162"/>
      <c r="X32" s="241"/>
      <c r="Y32" s="241"/>
      <c r="Z32" s="241"/>
      <c r="AA32" s="241"/>
      <c r="AB32" s="241"/>
      <c r="AC32" s="241"/>
      <c r="AD32" s="241"/>
      <c r="AE32" s="241"/>
      <c r="AF32" s="241"/>
      <c r="AG32" s="241"/>
      <c r="AH32" s="241"/>
      <c r="AI32" s="241"/>
      <c r="AJ32" s="241"/>
      <c r="AK32" s="241"/>
      <c r="AL32" s="241"/>
      <c r="AM32" s="241"/>
      <c r="AN32" s="241"/>
      <c r="AO32" s="162"/>
    </row>
    <row r="33" spans="2:41" ht="13.5" hidden="1" thickBot="1">
      <c r="B33" s="27"/>
      <c r="C33" s="27"/>
      <c r="D33" s="28"/>
      <c r="E33" s="27"/>
      <c r="G33" s="162"/>
      <c r="H33" s="162"/>
      <c r="I33" s="162"/>
      <c r="J33" s="162"/>
      <c r="K33" s="162"/>
      <c r="L33" s="162"/>
      <c r="M33" s="162"/>
      <c r="N33" s="162"/>
      <c r="O33" s="162"/>
      <c r="P33" s="162"/>
      <c r="Q33" s="162"/>
      <c r="R33" s="162"/>
      <c r="S33" s="162"/>
      <c r="W33" s="162"/>
      <c r="X33" s="241"/>
      <c r="Y33" s="241"/>
      <c r="Z33" s="241"/>
      <c r="AA33" s="241"/>
      <c r="AB33" s="241"/>
      <c r="AC33" s="241"/>
      <c r="AD33" s="241"/>
      <c r="AE33" s="241"/>
      <c r="AF33" s="241"/>
      <c r="AG33" s="241"/>
      <c r="AH33" s="241"/>
      <c r="AI33" s="241"/>
      <c r="AJ33" s="241"/>
      <c r="AK33" s="241"/>
      <c r="AL33" s="241"/>
      <c r="AM33" s="241"/>
      <c r="AN33" s="241"/>
      <c r="AO33" s="162"/>
    </row>
    <row r="34" spans="2:41" ht="13.5" hidden="1" thickBot="1">
      <c r="B34" s="27"/>
      <c r="C34" s="27"/>
      <c r="D34" s="28"/>
      <c r="E34" s="27"/>
      <c r="G34" s="162"/>
      <c r="H34" s="162"/>
      <c r="I34" s="162"/>
      <c r="J34" s="162"/>
      <c r="K34" s="162"/>
      <c r="L34" s="162"/>
      <c r="M34" s="162"/>
      <c r="N34" s="162"/>
      <c r="O34" s="162"/>
      <c r="P34" s="162"/>
      <c r="Q34" s="162"/>
      <c r="R34" s="162"/>
      <c r="S34" s="162"/>
      <c r="W34" s="162"/>
      <c r="X34" s="241"/>
      <c r="Y34" s="241"/>
      <c r="Z34" s="241"/>
      <c r="AA34" s="241"/>
      <c r="AB34" s="241"/>
      <c r="AC34" s="241"/>
      <c r="AD34" s="241"/>
      <c r="AE34" s="241"/>
      <c r="AF34" s="241"/>
      <c r="AG34" s="241"/>
      <c r="AH34" s="241"/>
      <c r="AI34" s="241"/>
      <c r="AJ34" s="241"/>
      <c r="AK34" s="241"/>
      <c r="AL34" s="241"/>
      <c r="AM34" s="241"/>
      <c r="AN34" s="241"/>
      <c r="AO34" s="162"/>
    </row>
    <row r="35" spans="2:41" ht="40.5" customHeight="1" thickBot="1">
      <c r="B35" s="291" t="s">
        <v>60</v>
      </c>
      <c r="C35" s="292"/>
      <c r="D35" s="28"/>
      <c r="E35" s="27"/>
      <c r="G35" s="162"/>
      <c r="H35" s="162"/>
      <c r="I35" s="162" t="s">
        <v>250</v>
      </c>
      <c r="J35" s="162"/>
      <c r="K35" s="162"/>
      <c r="L35" s="162"/>
      <c r="M35" s="162"/>
      <c r="N35" s="162"/>
      <c r="O35" s="162"/>
      <c r="P35" s="162"/>
      <c r="Q35" s="162"/>
      <c r="R35" s="162"/>
      <c r="S35" s="162"/>
      <c r="AF35" s="162"/>
      <c r="AG35" s="162"/>
      <c r="AH35" s="162"/>
      <c r="AI35" s="162"/>
      <c r="AJ35" s="162"/>
      <c r="AK35" s="162"/>
      <c r="AL35" s="162"/>
      <c r="AM35" s="241"/>
      <c r="AN35" s="241"/>
      <c r="AO35" s="162"/>
    </row>
    <row r="36" spans="2:41" ht="40.5" customHeight="1" thickBot="1">
      <c r="B36" s="289" t="s">
        <v>315</v>
      </c>
      <c r="C36" s="290"/>
      <c r="I36" s="153" t="s">
        <v>250</v>
      </c>
      <c r="AF36" s="162"/>
      <c r="AG36" s="162"/>
      <c r="AH36" s="162"/>
      <c r="AI36" s="162"/>
      <c r="AJ36" s="162"/>
      <c r="AK36" s="162"/>
      <c r="AL36" s="162"/>
      <c r="AM36" s="162"/>
      <c r="AN36" s="162"/>
      <c r="AO36" s="162"/>
    </row>
    <row r="37" spans="2:41" ht="15.75" customHeight="1">
      <c r="AM37" s="162"/>
      <c r="AN37" s="162"/>
      <c r="AO37" s="162"/>
    </row>
    <row r="38" spans="2:41" ht="15.75" hidden="1" customHeight="1"/>
    <row r="39" spans="2:41" ht="15.75" hidden="1" customHeight="1">
      <c r="B39" s="153" t="s">
        <v>320</v>
      </c>
      <c r="C39" s="153">
        <f>C9/2/(C23+C22)</f>
        <v>6.666666666666667</v>
      </c>
    </row>
    <row r="40" spans="2:41" ht="15.75" hidden="1" customHeight="1">
      <c r="B40" s="153" t="s">
        <v>64</v>
      </c>
      <c r="C40" s="153">
        <f>C39/(1-C20)</f>
        <v>13.333333333333334</v>
      </c>
    </row>
    <row r="41" spans="2:41" ht="15.75" hidden="1" customHeight="1"/>
    <row r="42" spans="2:41" ht="15.75" hidden="1" customHeight="1"/>
    <row r="43" spans="2:41" ht="15.75" hidden="1" customHeight="1"/>
    <row r="44" spans="2:41" ht="15.75" hidden="1" customHeight="1"/>
    <row r="45" spans="2:41"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topLeftCell="A4" workbookViewId="0">
      <selection activeCell="G21" sqref="G21"/>
    </sheetView>
  </sheetViews>
  <sheetFormatPr defaultColWidth="9.28515625" defaultRowHeight="12.75"/>
  <cols>
    <col min="1" max="1" width="45.7109375" style="4" customWidth="1"/>
    <col min="2" max="2" width="14.7109375" style="4" customWidth="1"/>
    <col min="3" max="3" width="6" style="4" customWidth="1"/>
    <col min="4" max="4" width="4.7109375" style="30" customWidth="1"/>
    <col min="5" max="5" width="3.28515625" style="4" customWidth="1"/>
    <col min="6" max="6" width="15.5703125" style="4" customWidth="1"/>
    <col min="7" max="7" width="5.28515625" style="4" customWidth="1"/>
    <col min="8" max="8" width="4.7109375" style="30" customWidth="1"/>
    <col min="9" max="9" width="3.28515625" style="4" customWidth="1"/>
    <col min="10" max="10" width="15.28515625" style="4" customWidth="1"/>
    <col min="11" max="11" width="7.28515625" style="4" customWidth="1"/>
    <col min="12" max="12" width="4.7109375" style="30" customWidth="1"/>
    <col min="13" max="16384" width="9.28515625" style="4"/>
  </cols>
  <sheetData>
    <row r="1" spans="1:13">
      <c r="A1" s="25"/>
    </row>
    <row r="5" spans="1:13" ht="24.75" customHeight="1">
      <c r="A5" s="139" t="str">
        <f>CONCATENATE("System Derating for ",C33," ",IF('DDR3 Config'!K12=1,"DDR3","DDR3L")," SDRAM (x",C34,", ",C35," Speed Grade)")</f>
        <v>System Derating for 4Gb DDR3L SDRAM (x16, -107 Speed Grade)</v>
      </c>
      <c r="B5" s="139"/>
      <c r="C5" s="139"/>
      <c r="D5" s="139"/>
      <c r="E5" s="139"/>
      <c r="F5" s="139"/>
      <c r="G5" s="139"/>
      <c r="H5" s="139"/>
      <c r="I5" s="139"/>
      <c r="J5" s="139"/>
      <c r="K5" s="139"/>
      <c r="L5" s="139"/>
    </row>
    <row r="6" spans="1:13">
      <c r="A6" s="18"/>
      <c r="B6" s="18"/>
      <c r="C6" s="18"/>
      <c r="D6" s="130"/>
      <c r="E6" s="18"/>
      <c r="F6" s="18"/>
      <c r="G6" s="18"/>
      <c r="H6" s="130"/>
      <c r="I6" s="18"/>
      <c r="J6" s="18"/>
      <c r="K6" s="18"/>
      <c r="L6" s="130"/>
    </row>
    <row r="7" spans="1:13" ht="27.75" customHeight="1">
      <c r="A7" s="138" t="s">
        <v>319</v>
      </c>
      <c r="B7" s="138"/>
      <c r="C7" s="138"/>
      <c r="D7" s="138"/>
      <c r="E7" s="138"/>
      <c r="F7" s="138"/>
      <c r="G7" s="138"/>
      <c r="H7" s="138"/>
      <c r="I7" s="138"/>
      <c r="J7" s="138"/>
      <c r="K7" s="138"/>
      <c r="L7" s="138"/>
    </row>
    <row r="9" spans="1:13" ht="13.5" thickBot="1"/>
    <row r="10" spans="1:13" s="6" customFormat="1" ht="57.6" customHeight="1" thickBot="1">
      <c r="A10" s="117"/>
      <c r="B10" s="143" t="s">
        <v>301</v>
      </c>
      <c r="C10" s="144"/>
      <c r="D10" s="145"/>
      <c r="E10" s="118"/>
      <c r="F10" s="143" t="s">
        <v>162</v>
      </c>
      <c r="G10" s="144"/>
      <c r="H10" s="145"/>
      <c r="J10" s="143" t="s">
        <v>200</v>
      </c>
      <c r="K10" s="144"/>
      <c r="L10" s="145"/>
    </row>
    <row r="11" spans="1:13" ht="21" customHeight="1">
      <c r="A11" s="119" t="s">
        <v>78</v>
      </c>
      <c r="B11" s="175" t="s">
        <v>65</v>
      </c>
      <c r="C11" s="176">
        <f>+'DDR3 Config'!C22*'DDR3 Config'!C$15</f>
        <v>53.094999999999999</v>
      </c>
      <c r="D11" s="177" t="s">
        <v>10</v>
      </c>
      <c r="E11" s="120"/>
      <c r="F11" s="49" t="s">
        <v>116</v>
      </c>
      <c r="G11" s="51">
        <f>C11*'System Config'!C16*'System Config'!C17</f>
        <v>3.3184374999999999</v>
      </c>
      <c r="H11" s="131" t="s">
        <v>10</v>
      </c>
      <c r="I11" s="56"/>
      <c r="J11" s="49" t="s">
        <v>104</v>
      </c>
      <c r="K11" s="51">
        <f>+G11*('System Config'!C$7/'DDR3 Config'!C$15)^2*IF('DDR3 Config'!I1=2,'System Config'!C$8/1000*'DDR3 Config'!C$30,1)</f>
        <v>2.9319921199912899</v>
      </c>
      <c r="L11" s="131" t="s">
        <v>10</v>
      </c>
      <c r="M11" s="18"/>
    </row>
    <row r="12" spans="1:13" ht="21" customHeight="1">
      <c r="A12" s="121" t="s">
        <v>79</v>
      </c>
      <c r="B12" s="175" t="s">
        <v>66</v>
      </c>
      <c r="C12" s="176">
        <f>+'DDR3 Config'!C23*'DDR3 Config'!C$15</f>
        <v>50.225000000000001</v>
      </c>
      <c r="D12" s="177" t="s">
        <v>10</v>
      </c>
      <c r="E12" s="120"/>
      <c r="F12" s="49" t="s">
        <v>117</v>
      </c>
      <c r="G12" s="51">
        <f>C12*'System Config'!C16*(1-'System Config'!C17)</f>
        <v>9.4171875000000007</v>
      </c>
      <c r="H12" s="131" t="s">
        <v>10</v>
      </c>
      <c r="I12" s="56"/>
      <c r="J12" s="49" t="s">
        <v>105</v>
      </c>
      <c r="K12" s="51">
        <f>+G12*('System Config'!C$7/'DDR3 Config'!C$15)^2*'System Config'!C$8/1000*'DDR3 Config'!C$30</f>
        <v>8.3205181783536606</v>
      </c>
      <c r="L12" s="131" t="s">
        <v>10</v>
      </c>
      <c r="M12" s="18"/>
    </row>
    <row r="13" spans="1:13" ht="21" customHeight="1">
      <c r="A13" s="121" t="s">
        <v>4</v>
      </c>
      <c r="B13" s="175" t="s">
        <v>67</v>
      </c>
      <c r="C13" s="176">
        <f>+'DDR3 Config'!C24*'DDR3 Config'!C$15</f>
        <v>58.835000000000001</v>
      </c>
      <c r="D13" s="177" t="s">
        <v>10</v>
      </c>
      <c r="E13" s="120"/>
      <c r="F13" s="49" t="s">
        <v>118</v>
      </c>
      <c r="G13" s="51">
        <f>C13*(1-'System Config'!C16)*'System Config'!C18</f>
        <v>11.0315625</v>
      </c>
      <c r="H13" s="131" t="s">
        <v>10</v>
      </c>
      <c r="I13" s="56"/>
      <c r="J13" s="49" t="s">
        <v>106</v>
      </c>
      <c r="K13" s="51">
        <f>+G13*('System Config'!C$7/'DDR3 Config'!C$15)^2*'System Config'!C$8/1000*'DDR3 Config'!C$30</f>
        <v>9.7468927232142875</v>
      </c>
      <c r="L13" s="131" t="s">
        <v>10</v>
      </c>
      <c r="M13" s="18"/>
    </row>
    <row r="14" spans="1:13" ht="21" customHeight="1">
      <c r="A14" s="121" t="s">
        <v>80</v>
      </c>
      <c r="B14" s="175" t="s">
        <v>68</v>
      </c>
      <c r="C14" s="176">
        <f>+'DDR3 Config'!C25*'DDR3 Config'!C$15</f>
        <v>70.314999999999998</v>
      </c>
      <c r="D14" s="177" t="s">
        <v>10</v>
      </c>
      <c r="E14" s="120"/>
      <c r="F14" s="49" t="s">
        <v>119</v>
      </c>
      <c r="G14" s="51">
        <f>C14*(1-'System Config'!C16)*(1-'System Config'!C18)</f>
        <v>39.552187500000002</v>
      </c>
      <c r="H14" s="131" t="s">
        <v>10</v>
      </c>
      <c r="I14" s="56"/>
      <c r="J14" s="49" t="s">
        <v>107</v>
      </c>
      <c r="K14" s="51">
        <f>+G14*('System Config'!C$7/'DDR3 Config'!C$15)^2*'System Config'!C$8/1000*'DDR3 Config'!C$30</f>
        <v>34.94617634908537</v>
      </c>
      <c r="L14" s="131" t="s">
        <v>10</v>
      </c>
      <c r="M14" s="18"/>
    </row>
    <row r="15" spans="1:13" ht="21" customHeight="1">
      <c r="A15" s="121" t="s">
        <v>18</v>
      </c>
      <c r="B15" s="175" t="s">
        <v>69</v>
      </c>
      <c r="C15" s="176">
        <f>('DDR3 Config'!C28-'DDR3 Config'!C25)*'DDR3 Config'!C34/'DDR3 Config'!C35/1000*'DDR3 Config'!C15</f>
        <v>8.6282134615384614</v>
      </c>
      <c r="D15" s="177" t="s">
        <v>10</v>
      </c>
      <c r="E15" s="120"/>
      <c r="F15" s="49" t="s">
        <v>120</v>
      </c>
      <c r="G15" s="51">
        <f>C15</f>
        <v>8.6282134615384614</v>
      </c>
      <c r="H15" s="131" t="s">
        <v>10</v>
      </c>
      <c r="I15" s="56"/>
      <c r="J15" s="49" t="s">
        <v>108</v>
      </c>
      <c r="K15" s="51">
        <f>+G15*('System Config'!C$7/'DDR3 Config'!C$15)^2</f>
        <v>7.6363287322433662</v>
      </c>
      <c r="L15" s="131" t="s">
        <v>10</v>
      </c>
      <c r="M15" s="18"/>
    </row>
    <row r="16" spans="1:13" ht="21" customHeight="1">
      <c r="A16" s="121" t="s">
        <v>17</v>
      </c>
      <c r="B16" s="175" t="s">
        <v>70</v>
      </c>
      <c r="C16" s="176">
        <f>+('DDR3 Config'!C21-('DDR3 Config'!C25*'DDR3 Config'!C33/'DDR3 Config'!C32+'DDR3 Config'!C23*('DDR3 Config'!C32-'DDR3 Config'!C33)/'DDR3 Config'!C32))*'DDR3 Config'!C$15</f>
        <v>40.243777777777787</v>
      </c>
      <c r="D16" s="177" t="s">
        <v>10</v>
      </c>
      <c r="E16" s="120"/>
      <c r="F16" s="49" t="s">
        <v>121</v>
      </c>
      <c r="G16" s="51">
        <f>+C16*'DDR3 Config'!C32/'System Config'!C28</f>
        <v>127.53309859154933</v>
      </c>
      <c r="H16" s="131" t="s">
        <v>10</v>
      </c>
      <c r="I16" s="56"/>
      <c r="J16" s="49" t="s">
        <v>109</v>
      </c>
      <c r="K16" s="51">
        <f>+G16*('System Config'!C$7/'DDR3 Config'!C$15)^2</f>
        <v>112.87211071305887</v>
      </c>
      <c r="L16" s="131" t="s">
        <v>10</v>
      </c>
      <c r="M16" s="18"/>
    </row>
    <row r="17" spans="1:13" ht="21" customHeight="1">
      <c r="A17" s="121" t="s">
        <v>16</v>
      </c>
      <c r="B17" s="175" t="s">
        <v>71</v>
      </c>
      <c r="C17" s="176">
        <f>+('DDR3 Config'!C27-'DDR3 Config'!C$25)*'DDR3 Config'!C$15*8/'System Config'!C9</f>
        <v>202.33500000000001</v>
      </c>
      <c r="D17" s="177" t="s">
        <v>10</v>
      </c>
      <c r="E17" s="120"/>
      <c r="F17" s="49" t="s">
        <v>122</v>
      </c>
      <c r="G17" s="51">
        <f>+C17*'System Config'!C23</f>
        <v>60.700499999999998</v>
      </c>
      <c r="H17" s="131" t="s">
        <v>10</v>
      </c>
      <c r="I17" s="56"/>
      <c r="J17" s="49" t="s">
        <v>110</v>
      </c>
      <c r="K17" s="51">
        <f>+G17*('System Config'!C$7/'DDR3 Config'!C$15)^2*'System Config'!C$8/1000*'DDR3 Config'!C$30</f>
        <v>53.631682886759585</v>
      </c>
      <c r="L17" s="131" t="s">
        <v>10</v>
      </c>
      <c r="M17" s="18"/>
    </row>
    <row r="18" spans="1:13" ht="21" customHeight="1">
      <c r="A18" s="121" t="s">
        <v>61</v>
      </c>
      <c r="B18" s="175" t="s">
        <v>72</v>
      </c>
      <c r="C18" s="176">
        <f>+('DDR3 Config'!C26-'DDR3 Config'!C$25)*'DDR3 Config'!C$15*8/'System Config'!C9</f>
        <v>291.30500000000001</v>
      </c>
      <c r="D18" s="177" t="s">
        <v>10</v>
      </c>
      <c r="E18" s="120"/>
      <c r="F18" s="49" t="s">
        <v>123</v>
      </c>
      <c r="G18" s="51">
        <f>+C18*'System Config'!C22</f>
        <v>87.391499999999994</v>
      </c>
      <c r="H18" s="131" t="s">
        <v>10</v>
      </c>
      <c r="I18" s="56"/>
      <c r="J18" s="49" t="s">
        <v>111</v>
      </c>
      <c r="K18" s="51">
        <f>+G18*('System Config'!C$7/'DDR3 Config'!C$15)^2*'System Config'!C$8/1000*'DDR3 Config'!C$30</f>
        <v>77.214408695121946</v>
      </c>
      <c r="L18" s="131" t="s">
        <v>10</v>
      </c>
      <c r="M18" s="18"/>
    </row>
    <row r="19" spans="1:13" ht="21" customHeight="1">
      <c r="A19" s="121" t="s">
        <v>62</v>
      </c>
      <c r="B19" s="175" t="s">
        <v>73</v>
      </c>
      <c r="C19" s="176">
        <f>+('System Config'!C11*('DDR3 Config'!C$8+'DDR3 Config'!C18))</f>
        <v>88.314115815189695</v>
      </c>
      <c r="D19" s="177" t="s">
        <v>10</v>
      </c>
      <c r="E19" s="120"/>
      <c r="F19" s="49" t="s">
        <v>124</v>
      </c>
      <c r="G19" s="51">
        <f>+C19*'System Config'!C22</f>
        <v>26.494234744556909</v>
      </c>
      <c r="H19" s="131" t="s">
        <v>10</v>
      </c>
      <c r="I19" s="56"/>
      <c r="J19" s="49" t="s">
        <v>112</v>
      </c>
      <c r="K19" s="51">
        <f>+G19</f>
        <v>26.494234744556909</v>
      </c>
      <c r="L19" s="131" t="s">
        <v>10</v>
      </c>
      <c r="M19" s="18"/>
    </row>
    <row r="20" spans="1:13" ht="21" customHeight="1">
      <c r="A20" s="121" t="s">
        <v>30</v>
      </c>
      <c r="B20" s="175" t="s">
        <v>74</v>
      </c>
      <c r="C20" s="176">
        <f>+('System Config'!C12*('DDR3 Config'!C$8+'DDR3 Config'!C$18+'DDR3 Config'!C$19))</f>
        <v>367.51533063761747</v>
      </c>
      <c r="D20" s="177" t="s">
        <v>10</v>
      </c>
      <c r="E20" s="120"/>
      <c r="F20" s="49" t="s">
        <v>125</v>
      </c>
      <c r="G20" s="51">
        <f>+C20*'System Config'!C23</f>
        <v>110.25459919128524</v>
      </c>
      <c r="H20" s="131" t="s">
        <v>10</v>
      </c>
      <c r="I20" s="56"/>
      <c r="J20" s="49" t="s">
        <v>113</v>
      </c>
      <c r="K20" s="51">
        <f>+G20</f>
        <v>110.25459919128524</v>
      </c>
      <c r="L20" s="131" t="s">
        <v>10</v>
      </c>
      <c r="M20" s="18"/>
    </row>
    <row r="21" spans="1:13" ht="21" customHeight="1">
      <c r="A21" s="121" t="s">
        <v>90</v>
      </c>
      <c r="B21" s="175" t="s">
        <v>75</v>
      </c>
      <c r="C21" s="176">
        <f>+('System Config'!C13*('DDR3 Config'!C$8+'DDR3 Config'!C$18))</f>
        <v>480.92032173442823</v>
      </c>
      <c r="D21" s="177" t="s">
        <v>10</v>
      </c>
      <c r="E21" s="120"/>
      <c r="F21" s="49" t="s">
        <v>126</v>
      </c>
      <c r="G21" s="51">
        <f>+C21*'System Config'!C25</f>
        <v>0</v>
      </c>
      <c r="H21" s="131" t="s">
        <v>10</v>
      </c>
      <c r="I21" s="56"/>
      <c r="J21" s="49" t="s">
        <v>114</v>
      </c>
      <c r="K21" s="51">
        <f>+G21</f>
        <v>0</v>
      </c>
      <c r="L21" s="131" t="s">
        <v>10</v>
      </c>
      <c r="M21" s="18"/>
    </row>
    <row r="22" spans="1:13" ht="21" customHeight="1" thickBot="1">
      <c r="A22" s="122" t="s">
        <v>33</v>
      </c>
      <c r="B22" s="178" t="s">
        <v>76</v>
      </c>
      <c r="C22" s="179">
        <f>+('System Config'!C14*('DDR3 Config'!C$8+'DDR3 Config'!C$18+'DDR3 Config'!C$19))</f>
        <v>533.62382119082849</v>
      </c>
      <c r="D22" s="180" t="s">
        <v>10</v>
      </c>
      <c r="E22" s="120"/>
      <c r="F22" s="61" t="s">
        <v>127</v>
      </c>
      <c r="G22" s="123">
        <f>+C22*'System Config'!C26</f>
        <v>0</v>
      </c>
      <c r="H22" s="132" t="s">
        <v>10</v>
      </c>
      <c r="I22" s="56"/>
      <c r="J22" s="61" t="s">
        <v>115</v>
      </c>
      <c r="K22" s="123">
        <f>+G22</f>
        <v>0</v>
      </c>
      <c r="L22" s="132" t="s">
        <v>10</v>
      </c>
      <c r="M22" s="18"/>
    </row>
    <row r="23" spans="1:13" ht="13.5" thickBot="1">
      <c r="A23" s="56"/>
      <c r="B23" s="56"/>
      <c r="C23" s="56"/>
      <c r="D23" s="54"/>
      <c r="E23" s="56"/>
      <c r="F23" s="56"/>
      <c r="G23" s="56"/>
      <c r="H23" s="54"/>
      <c r="I23" s="56"/>
      <c r="J23" s="56"/>
      <c r="K23" s="56"/>
      <c r="L23" s="54"/>
    </row>
    <row r="24" spans="1:13" s="5" customFormat="1" ht="19.149999999999999" customHeight="1" thickBot="1">
      <c r="A24" s="42"/>
      <c r="B24" s="42"/>
      <c r="C24" s="124"/>
      <c r="D24" s="133"/>
      <c r="E24" s="42"/>
      <c r="F24" s="42"/>
      <c r="G24" s="48"/>
      <c r="H24" s="133"/>
      <c r="I24" s="42"/>
      <c r="J24" s="181" t="s">
        <v>0</v>
      </c>
      <c r="K24" s="125">
        <f>SUM(K11:K20)</f>
        <v>444.04894433367059</v>
      </c>
      <c r="L24" s="134" t="s">
        <v>10</v>
      </c>
    </row>
    <row r="25" spans="1:13" ht="16.5" thickBot="1">
      <c r="G25" s="48"/>
      <c r="H25" s="133"/>
      <c r="I25" s="42"/>
      <c r="J25" s="181" t="s">
        <v>302</v>
      </c>
      <c r="K25" s="125">
        <f>SUM(K21:K22)</f>
        <v>0</v>
      </c>
      <c r="L25" s="134" t="s">
        <v>10</v>
      </c>
    </row>
    <row r="27" spans="1:13" ht="29.25" customHeight="1">
      <c r="G27" s="300"/>
      <c r="H27" s="300"/>
      <c r="K27" s="300"/>
      <c r="L27" s="300"/>
    </row>
    <row r="28" spans="1:13" hidden="1"/>
    <row r="29" spans="1:13" hidden="1">
      <c r="A29" s="4" t="s">
        <v>9</v>
      </c>
      <c r="C29" s="4">
        <f>'System Config'!C7</f>
        <v>1.35</v>
      </c>
    </row>
    <row r="30" spans="1:13" hidden="1">
      <c r="A30" s="4" t="s">
        <v>54</v>
      </c>
      <c r="C30" s="4">
        <f>'System Config'!C8</f>
        <v>933</v>
      </c>
    </row>
    <row r="31" spans="1:13" hidden="1"/>
    <row r="32" spans="1:13" hidden="1">
      <c r="A32" s="4" t="s">
        <v>55</v>
      </c>
    </row>
    <row r="33" spans="1:3" hidden="1">
      <c r="A33" s="4" t="s">
        <v>47</v>
      </c>
      <c r="C33" s="4" t="str">
        <f>'DDR3 Config'!C7</f>
        <v>4Gb</v>
      </c>
    </row>
    <row r="34" spans="1:3" hidden="1">
      <c r="A34" s="4" t="s">
        <v>56</v>
      </c>
      <c r="C34" s="4">
        <f>'DDR3 Config'!C8</f>
        <v>16</v>
      </c>
    </row>
    <row r="35" spans="1:3" hidden="1">
      <c r="A35" s="4" t="s">
        <v>48</v>
      </c>
      <c r="C35" s="4" t="str">
        <f>'DDR3 Config'!C9</f>
        <v>-107</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abSelected="1" topLeftCell="A10" workbookViewId="0">
      <selection activeCell="D24" sqref="D24"/>
    </sheetView>
  </sheetViews>
  <sheetFormatPr defaultColWidth="8.7109375" defaultRowHeight="12.75"/>
  <cols>
    <col min="1" max="1" width="2.7109375" customWidth="1"/>
    <col min="2" max="2" width="5.7109375" customWidth="1"/>
    <col min="3" max="3" width="32" customWidth="1"/>
    <col min="11" max="11" width="7.5703125" customWidth="1"/>
    <col min="12" max="12" width="6.28515625" customWidth="1"/>
    <col min="14" max="14" width="25" customWidth="1"/>
    <col min="15" max="15" width="99.7109375" customWidth="1"/>
    <col min="16" max="16" width="11.28515625" customWidth="1"/>
    <col min="17" max="17" width="8.7109375" customWidth="1"/>
  </cols>
  <sheetData>
    <row r="1" spans="1:17">
      <c r="A1" s="25"/>
    </row>
    <row r="5" spans="1:17" ht="23.25">
      <c r="A5" s="137" t="str">
        <f>CONCATENATE('DDR3 Config'!C7," ",IF('DDR3 Config'!K12=1,"DDR3","DDR3L")," SDRAM with ",'DDR3 Config'!C8," DQs and a ",'DDR3 Config'!C9," Speed Grade")</f>
        <v>4Gb DDR3L SDRAM with 16 DQs and a -107 Speed Grade</v>
      </c>
      <c r="B5" s="137"/>
      <c r="C5" s="137"/>
      <c r="D5" s="137"/>
      <c r="E5" s="137"/>
      <c r="F5" s="137"/>
      <c r="G5" s="137"/>
      <c r="H5" s="137"/>
      <c r="I5" s="137"/>
      <c r="J5" s="137"/>
      <c r="K5" s="137"/>
      <c r="L5" s="137"/>
      <c r="M5" s="137"/>
    </row>
    <row r="6" spans="1:17" ht="5.25" customHeight="1"/>
    <row r="7" spans="1:17" s="3" customFormat="1" ht="42" customHeight="1" thickBot="1">
      <c r="A7" s="135"/>
      <c r="B7" s="135"/>
      <c r="C7" s="136" t="str">
        <f>CONCATENATE(A49," ",A50," ",A51," All parameters are calculated and require no user input.")</f>
        <v>System is operating at 933 MHz clock with VDD = 1.35V. Read bandwidth is 1119.6 MT/s with write bandwidth of 1119.6 MT/s. The DRAM terminates  0 MT/s. ACT commands are separated by 14.2ns on average. All parameters are calculated and require no user input.</v>
      </c>
      <c r="D7" s="136"/>
      <c r="E7" s="136"/>
      <c r="F7" s="136"/>
      <c r="G7" s="136"/>
      <c r="H7" s="136"/>
      <c r="I7" s="136"/>
      <c r="J7" s="136"/>
      <c r="K7" s="136"/>
      <c r="L7" s="136"/>
      <c r="M7" s="136"/>
    </row>
    <row r="8" spans="1:17" s="34" customFormat="1" ht="27" customHeight="1">
      <c r="A8" s="189"/>
      <c r="B8" s="301" t="s">
        <v>306</v>
      </c>
      <c r="C8" s="302"/>
      <c r="D8" s="302"/>
      <c r="E8" s="302"/>
      <c r="F8" s="190"/>
      <c r="G8" s="190"/>
      <c r="H8" s="190"/>
      <c r="I8" s="190"/>
      <c r="J8" s="190"/>
      <c r="K8" s="190"/>
      <c r="L8" s="190"/>
      <c r="M8" s="191"/>
    </row>
    <row r="9" spans="1:17" ht="15" thickBot="1">
      <c r="A9" s="192"/>
      <c r="B9" s="187"/>
      <c r="C9" s="187"/>
      <c r="D9" s="188"/>
      <c r="E9" s="187"/>
      <c r="F9" s="2"/>
      <c r="G9" s="2"/>
      <c r="H9" s="2"/>
      <c r="I9" s="2"/>
      <c r="J9" s="2"/>
      <c r="K9" s="2"/>
      <c r="L9" s="2"/>
      <c r="M9" s="193"/>
      <c r="P9" s="183" t="s">
        <v>250</v>
      </c>
      <c r="Q9" s="184" t="s">
        <v>250</v>
      </c>
    </row>
    <row r="10" spans="1:17" ht="14.25">
      <c r="A10" s="192"/>
      <c r="B10" s="217" t="s">
        <v>309</v>
      </c>
      <c r="C10" s="218"/>
      <c r="D10" s="219">
        <f>'Power Calcs'!K16</f>
        <v>112.87211071305887</v>
      </c>
      <c r="E10" s="220" t="s">
        <v>10</v>
      </c>
      <c r="F10" s="2"/>
      <c r="G10" s="2"/>
      <c r="H10" s="2"/>
      <c r="I10" s="2"/>
      <c r="J10" s="2"/>
      <c r="K10" s="2"/>
      <c r="L10" s="2"/>
      <c r="M10" s="193"/>
      <c r="P10" s="185" t="str">
        <f>$B$10</f>
        <v>ACT</v>
      </c>
      <c r="Q10" s="186">
        <f>$D$10</f>
        <v>112.87211071305887</v>
      </c>
    </row>
    <row r="11" spans="1:17" ht="15">
      <c r="A11" s="192"/>
      <c r="B11" s="213"/>
      <c r="C11" s="214" t="s">
        <v>81</v>
      </c>
      <c r="D11" s="215">
        <f>D10</f>
        <v>112.87211071305887</v>
      </c>
      <c r="E11" s="216" t="s">
        <v>10</v>
      </c>
      <c r="F11" s="2"/>
      <c r="G11" s="2"/>
      <c r="H11" s="2"/>
      <c r="I11" s="2"/>
      <c r="J11" s="2"/>
      <c r="K11" s="2"/>
      <c r="L11" s="2"/>
      <c r="M11" s="193"/>
      <c r="P11" s="185" t="str">
        <f>$B$12</f>
        <v>RD</v>
      </c>
      <c r="Q11" s="186">
        <f>$D$12</f>
        <v>77.214408695121946</v>
      </c>
    </row>
    <row r="12" spans="1:17" ht="14.25">
      <c r="A12" s="192"/>
      <c r="B12" s="221" t="s">
        <v>311</v>
      </c>
      <c r="C12" s="222"/>
      <c r="D12" s="223">
        <f>'Power Calcs'!K18</f>
        <v>77.214408695121946</v>
      </c>
      <c r="E12" s="224" t="s">
        <v>10</v>
      </c>
      <c r="F12" s="2"/>
      <c r="G12" s="2"/>
      <c r="H12" s="2"/>
      <c r="I12" s="2"/>
      <c r="J12" s="2"/>
      <c r="K12" s="2"/>
      <c r="L12" s="2"/>
      <c r="M12" s="193"/>
      <c r="P12" s="185" t="str">
        <f>$B$13</f>
        <v>WR</v>
      </c>
      <c r="Q12" s="186">
        <f>$D$13</f>
        <v>53.631682886759585</v>
      </c>
    </row>
    <row r="13" spans="1:17" ht="14.25">
      <c r="A13" s="192"/>
      <c r="B13" s="221" t="s">
        <v>310</v>
      </c>
      <c r="C13" s="222"/>
      <c r="D13" s="223">
        <f>'Power Calcs'!K17</f>
        <v>53.631682886759585</v>
      </c>
      <c r="E13" s="224" t="s">
        <v>10</v>
      </c>
      <c r="F13" s="2"/>
      <c r="G13" s="2"/>
      <c r="H13" s="2"/>
      <c r="I13" s="2"/>
      <c r="J13" s="2"/>
      <c r="K13" s="2"/>
      <c r="L13" s="2"/>
      <c r="M13" s="193"/>
      <c r="P13" s="185" t="str">
        <f>$B$14</f>
        <v>READ I/O</v>
      </c>
      <c r="Q13" s="186">
        <f>$D$14</f>
        <v>26.494234744556909</v>
      </c>
    </row>
    <row r="14" spans="1:17" ht="14.25">
      <c r="A14" s="192"/>
      <c r="B14" s="221" t="s">
        <v>312</v>
      </c>
      <c r="C14" s="222"/>
      <c r="D14" s="223">
        <f>'Power Calcs'!K19</f>
        <v>26.494234744556909</v>
      </c>
      <c r="E14" s="224" t="s">
        <v>10</v>
      </c>
      <c r="F14" s="2"/>
      <c r="G14" s="2"/>
      <c r="H14" s="2"/>
      <c r="I14" s="2"/>
      <c r="J14" s="2"/>
      <c r="K14" s="2"/>
      <c r="L14" s="2"/>
      <c r="M14" s="193"/>
      <c r="P14" s="185" t="str">
        <f>$B$15</f>
        <v>Write ODT</v>
      </c>
      <c r="Q14" s="186">
        <f>$D$15</f>
        <v>110.25459919128524</v>
      </c>
    </row>
    <row r="15" spans="1:17" ht="14.25">
      <c r="A15" s="192"/>
      <c r="B15" s="221" t="s">
        <v>313</v>
      </c>
      <c r="C15" s="222"/>
      <c r="D15" s="223">
        <f>'Power Calcs'!K20</f>
        <v>110.25459919128524</v>
      </c>
      <c r="E15" s="224" t="s">
        <v>10</v>
      </c>
      <c r="F15" s="2"/>
      <c r="G15" s="2"/>
      <c r="H15" s="2"/>
      <c r="I15" s="2"/>
      <c r="J15" s="2"/>
      <c r="K15" s="2"/>
      <c r="L15" s="2"/>
      <c r="M15" s="193"/>
      <c r="P15" s="185" t="str">
        <f>$B$17</f>
        <v>ACT_STBY</v>
      </c>
      <c r="Q15" s="186">
        <f>$D$17</f>
        <v>34.94617634908537</v>
      </c>
    </row>
    <row r="16" spans="1:17" ht="15">
      <c r="A16" s="192"/>
      <c r="B16" s="209"/>
      <c r="C16" s="210" t="s">
        <v>95</v>
      </c>
      <c r="D16" s="211">
        <f>+D12+D13+D14+D15</f>
        <v>267.59492551772365</v>
      </c>
      <c r="E16" s="212" t="s">
        <v>10</v>
      </c>
      <c r="F16" s="2"/>
      <c r="G16" s="2"/>
      <c r="H16" s="2"/>
      <c r="I16" s="2"/>
      <c r="J16" s="2"/>
      <c r="K16" s="2"/>
      <c r="L16" s="2"/>
      <c r="M16" s="193"/>
      <c r="P16" s="185" t="str">
        <f>$B$18</f>
        <v>PRE_STBY</v>
      </c>
      <c r="Q16" s="186">
        <f>$D$18</f>
        <v>8.3205181783536606</v>
      </c>
    </row>
    <row r="17" spans="1:17" ht="14.25">
      <c r="A17" s="192"/>
      <c r="B17" s="225" t="s">
        <v>307</v>
      </c>
      <c r="C17" s="226"/>
      <c r="D17" s="227">
        <f>'Power Calcs'!K14</f>
        <v>34.94617634908537</v>
      </c>
      <c r="E17" s="228" t="s">
        <v>10</v>
      </c>
      <c r="F17" s="2"/>
      <c r="G17" s="2"/>
      <c r="H17" s="2"/>
      <c r="I17" s="2"/>
      <c r="J17" s="2"/>
      <c r="K17" s="2"/>
      <c r="L17" s="2"/>
      <c r="M17" s="193"/>
      <c r="P17" s="185" t="str">
        <f>$B$19</f>
        <v>ACT_PDN</v>
      </c>
      <c r="Q17" s="186">
        <f>$D$19</f>
        <v>9.7468927232142875</v>
      </c>
    </row>
    <row r="18" spans="1:17" ht="14.25">
      <c r="A18" s="192"/>
      <c r="B18" s="225" t="s">
        <v>304</v>
      </c>
      <c r="C18" s="226"/>
      <c r="D18" s="227">
        <f>'Power Calcs'!K12</f>
        <v>8.3205181783536606</v>
      </c>
      <c r="E18" s="228" t="s">
        <v>10</v>
      </c>
      <c r="F18" s="2"/>
      <c r="G18" s="2"/>
      <c r="H18" s="2"/>
      <c r="I18" s="2"/>
      <c r="J18" s="2"/>
      <c r="K18" s="2"/>
      <c r="L18" s="2"/>
      <c r="M18" s="193"/>
      <c r="P18" s="185" t="str">
        <f>$B$20</f>
        <v>PRE_PDN</v>
      </c>
      <c r="Q18" s="186">
        <f>$D$20</f>
        <v>2.9319921199912899</v>
      </c>
    </row>
    <row r="19" spans="1:17" ht="14.25">
      <c r="A19" s="192"/>
      <c r="B19" s="225" t="s">
        <v>305</v>
      </c>
      <c r="C19" s="226"/>
      <c r="D19" s="227">
        <f>'Power Calcs'!K13</f>
        <v>9.7468927232142875</v>
      </c>
      <c r="E19" s="228" t="s">
        <v>10</v>
      </c>
      <c r="F19" s="2"/>
      <c r="G19" s="2"/>
      <c r="H19" s="2"/>
      <c r="I19" s="2"/>
      <c r="J19" s="2"/>
      <c r="K19" s="2"/>
      <c r="L19" s="2"/>
      <c r="M19" s="193"/>
      <c r="P19" s="185" t="str">
        <f>$B$21</f>
        <v>REF</v>
      </c>
      <c r="Q19" s="186">
        <f>$D$21</f>
        <v>7.6363287322433662</v>
      </c>
    </row>
    <row r="20" spans="1:17" ht="14.25">
      <c r="A20" s="192"/>
      <c r="B20" s="225" t="s">
        <v>303</v>
      </c>
      <c r="C20" s="226"/>
      <c r="D20" s="227">
        <f>'Power Calcs'!K11</f>
        <v>2.9319921199912899</v>
      </c>
      <c r="E20" s="228" t="s">
        <v>10</v>
      </c>
      <c r="F20" s="2"/>
      <c r="G20" s="2"/>
      <c r="H20" s="2"/>
      <c r="I20" s="2"/>
      <c r="J20" s="2"/>
      <c r="K20" s="2"/>
      <c r="L20" s="2"/>
      <c r="M20" s="193"/>
      <c r="P20" s="185" t="str">
        <f>$B$24</f>
        <v>TERM 2nd rank</v>
      </c>
      <c r="Q20" s="186">
        <f>$D$24</f>
        <v>0</v>
      </c>
    </row>
    <row r="21" spans="1:17" ht="14.25">
      <c r="A21" s="192"/>
      <c r="B21" s="225" t="s">
        <v>308</v>
      </c>
      <c r="C21" s="226"/>
      <c r="D21" s="227">
        <f>'Power Calcs'!K15</f>
        <v>7.6363287322433662</v>
      </c>
      <c r="E21" s="228" t="s">
        <v>10</v>
      </c>
      <c r="F21" s="2"/>
      <c r="G21" s="2"/>
      <c r="H21" s="2"/>
      <c r="I21" s="2"/>
      <c r="J21" s="2"/>
      <c r="K21" s="2"/>
      <c r="L21" s="2"/>
      <c r="M21" s="193"/>
      <c r="P21" s="183" t="s">
        <v>250</v>
      </c>
      <c r="Q21" s="182"/>
    </row>
    <row r="22" spans="1:17" ht="15">
      <c r="A22" s="192"/>
      <c r="B22" s="205"/>
      <c r="C22" s="206" t="s">
        <v>58</v>
      </c>
      <c r="D22" s="207">
        <f>SUM(D17:D21)</f>
        <v>63.581908102887972</v>
      </c>
      <c r="E22" s="208" t="s">
        <v>10</v>
      </c>
      <c r="F22" s="2"/>
      <c r="G22" s="2"/>
      <c r="H22" s="2"/>
      <c r="I22" s="2"/>
      <c r="J22" s="2"/>
      <c r="K22" s="2"/>
      <c r="L22" s="2"/>
      <c r="M22" s="193"/>
      <c r="P22" s="183" t="s">
        <v>250</v>
      </c>
      <c r="Q22" s="182"/>
    </row>
    <row r="23" spans="1:17" ht="15">
      <c r="A23" s="192"/>
      <c r="B23" s="197" t="s">
        <v>211</v>
      </c>
      <c r="C23" s="196"/>
      <c r="D23" s="198">
        <f>+D16+D11+D22</f>
        <v>444.04894433367048</v>
      </c>
      <c r="E23" s="199" t="s">
        <v>10</v>
      </c>
      <c r="F23" s="2"/>
      <c r="G23" s="2"/>
      <c r="H23" s="2"/>
      <c r="I23" s="2"/>
      <c r="J23" s="2"/>
      <c r="K23" s="2"/>
      <c r="L23" s="2"/>
      <c r="M23" s="193"/>
      <c r="P23" s="183" t="s">
        <v>250</v>
      </c>
      <c r="Q23" s="182"/>
    </row>
    <row r="24" spans="1:17" ht="15.75" thickBot="1">
      <c r="A24" s="192"/>
      <c r="B24" s="201" t="s">
        <v>314</v>
      </c>
      <c r="C24" s="202"/>
      <c r="D24" s="203">
        <f>+'Power Calcs'!K21+'Power Calcs'!K22</f>
        <v>0</v>
      </c>
      <c r="E24" s="204" t="s">
        <v>10</v>
      </c>
      <c r="F24" s="2"/>
      <c r="G24" s="2"/>
      <c r="H24" s="2"/>
      <c r="I24" s="2"/>
      <c r="J24" s="2"/>
      <c r="K24" s="2"/>
      <c r="L24" s="2"/>
      <c r="M24" s="193"/>
      <c r="P24" s="183" t="s">
        <v>250</v>
      </c>
      <c r="Q24" s="182"/>
    </row>
    <row r="25" spans="1:17">
      <c r="A25" s="192"/>
      <c r="B25" s="2"/>
      <c r="C25" s="43"/>
      <c r="D25" s="43"/>
      <c r="E25" s="2"/>
      <c r="F25" s="2"/>
      <c r="G25" s="2"/>
      <c r="H25" s="2"/>
      <c r="I25" s="2"/>
      <c r="J25" s="2"/>
      <c r="K25" s="2"/>
      <c r="L25" s="2"/>
      <c r="M25" s="193"/>
      <c r="P25" s="183" t="s">
        <v>250</v>
      </c>
      <c r="Q25" s="182"/>
    </row>
    <row r="26" spans="1:17">
      <c r="A26" s="192"/>
      <c r="B26" s="2"/>
      <c r="C26" s="43"/>
      <c r="D26" s="43"/>
      <c r="E26" s="2"/>
      <c r="F26" s="2"/>
      <c r="G26" s="2"/>
      <c r="H26" s="2"/>
      <c r="I26" s="2"/>
      <c r="J26" s="2"/>
      <c r="K26" s="2"/>
      <c r="L26" s="2"/>
      <c r="M26" s="193"/>
    </row>
    <row r="27" spans="1:17">
      <c r="A27" s="192"/>
      <c r="B27" s="2"/>
      <c r="C27" s="43"/>
      <c r="D27" s="43"/>
      <c r="E27" s="2"/>
      <c r="F27" s="2"/>
      <c r="G27" s="2"/>
      <c r="H27" s="2"/>
      <c r="I27" s="2"/>
      <c r="J27" s="2"/>
      <c r="K27" s="2"/>
      <c r="L27" s="2"/>
      <c r="M27" s="193"/>
    </row>
    <row r="28" spans="1:17">
      <c r="A28" s="192"/>
      <c r="B28" s="2"/>
      <c r="C28" s="43"/>
      <c r="D28" s="43"/>
      <c r="E28" s="2"/>
      <c r="F28" s="2"/>
      <c r="G28" s="2"/>
      <c r="H28" s="2"/>
      <c r="I28" s="2"/>
      <c r="J28" s="2"/>
      <c r="K28" s="2"/>
      <c r="L28" s="2"/>
      <c r="M28" s="193"/>
    </row>
    <row r="29" spans="1:17">
      <c r="A29" s="192"/>
      <c r="B29" s="2"/>
      <c r="C29" s="43"/>
      <c r="D29" s="43"/>
      <c r="E29" s="2"/>
      <c r="F29" s="2"/>
      <c r="G29" s="2"/>
      <c r="H29" s="2"/>
      <c r="I29" s="2"/>
      <c r="J29" s="2"/>
      <c r="K29" s="2"/>
      <c r="L29" s="2"/>
      <c r="M29" s="193"/>
    </row>
    <row r="30" spans="1:17">
      <c r="A30" s="192"/>
      <c r="B30" s="2"/>
      <c r="C30" s="43"/>
      <c r="D30" s="43"/>
      <c r="E30" s="2"/>
      <c r="F30" s="2"/>
      <c r="G30" s="2"/>
      <c r="H30" s="2"/>
      <c r="I30" s="2"/>
      <c r="J30" s="2"/>
      <c r="K30" s="2"/>
      <c r="L30" s="2"/>
      <c r="M30" s="193"/>
    </row>
    <row r="31" spans="1:17">
      <c r="A31" s="192"/>
      <c r="B31" s="2"/>
      <c r="C31" s="43"/>
      <c r="D31" s="43"/>
      <c r="E31" s="2"/>
      <c r="F31" s="2"/>
      <c r="G31" s="2"/>
      <c r="H31" s="2"/>
      <c r="I31" s="2"/>
      <c r="J31" s="2"/>
      <c r="K31" s="2"/>
      <c r="L31" s="2"/>
      <c r="M31" s="193"/>
    </row>
    <row r="32" spans="1:17">
      <c r="A32" s="192"/>
      <c r="B32" s="2"/>
      <c r="C32" s="43"/>
      <c r="D32" s="43"/>
      <c r="E32" s="2"/>
      <c r="F32" s="2"/>
      <c r="G32" s="2"/>
      <c r="H32" s="2"/>
      <c r="I32" s="2"/>
      <c r="J32" s="2"/>
      <c r="K32" s="2"/>
      <c r="L32" s="2"/>
      <c r="M32" s="193"/>
    </row>
    <row r="33" spans="1:13">
      <c r="A33" s="192"/>
      <c r="B33" s="2"/>
      <c r="C33" s="43"/>
      <c r="D33" s="43"/>
      <c r="E33" s="2"/>
      <c r="F33" s="2"/>
      <c r="G33" s="2"/>
      <c r="H33" s="2"/>
      <c r="I33" s="2"/>
      <c r="J33" s="2"/>
      <c r="K33" s="2"/>
      <c r="L33" s="2"/>
      <c r="M33" s="193"/>
    </row>
    <row r="34" spans="1:13">
      <c r="A34" s="192"/>
      <c r="B34" s="2"/>
      <c r="C34" s="43"/>
      <c r="D34" s="43"/>
      <c r="E34" s="2"/>
      <c r="F34" s="2"/>
      <c r="G34" s="2"/>
      <c r="H34" s="2"/>
      <c r="I34" s="2"/>
      <c r="J34" s="2"/>
      <c r="K34" s="2"/>
      <c r="L34" s="2"/>
      <c r="M34" s="193"/>
    </row>
    <row r="35" spans="1:13">
      <c r="A35" s="192"/>
      <c r="B35" s="2"/>
      <c r="C35" s="43"/>
      <c r="D35" s="43"/>
      <c r="E35" s="2"/>
      <c r="F35" s="2"/>
      <c r="G35" s="2"/>
      <c r="H35" s="2"/>
      <c r="I35" s="2"/>
      <c r="J35" s="2"/>
      <c r="K35" s="2"/>
      <c r="L35" s="2"/>
      <c r="M35" s="193"/>
    </row>
    <row r="36" spans="1:13">
      <c r="A36" s="192"/>
      <c r="B36" s="2"/>
      <c r="C36" s="43"/>
      <c r="D36" s="43"/>
      <c r="E36" s="2"/>
      <c r="F36" s="2"/>
      <c r="G36" s="2"/>
      <c r="H36" s="2"/>
      <c r="I36" s="2"/>
      <c r="J36" s="2"/>
      <c r="K36" s="2"/>
      <c r="L36" s="2"/>
      <c r="M36" s="193"/>
    </row>
    <row r="37" spans="1:13">
      <c r="A37" s="192"/>
      <c r="B37" s="2"/>
      <c r="C37" s="43"/>
      <c r="D37" s="43"/>
      <c r="E37" s="2"/>
      <c r="F37" s="2"/>
      <c r="G37" s="2"/>
      <c r="H37" s="2"/>
      <c r="I37" s="2"/>
      <c r="J37" s="2"/>
      <c r="K37" s="2"/>
      <c r="L37" s="2"/>
      <c r="M37" s="193"/>
    </row>
    <row r="38" spans="1:13">
      <c r="A38" s="192"/>
      <c r="B38" s="2"/>
      <c r="C38" s="43"/>
      <c r="D38" s="43"/>
      <c r="E38" s="2"/>
      <c r="F38" s="2"/>
      <c r="G38" s="2"/>
      <c r="H38" s="2"/>
      <c r="I38" s="2"/>
      <c r="J38" s="2"/>
      <c r="K38" s="2"/>
      <c r="L38" s="2"/>
      <c r="M38" s="193"/>
    </row>
    <row r="39" spans="1:13">
      <c r="A39" s="192"/>
      <c r="B39" s="2"/>
      <c r="C39" s="43"/>
      <c r="D39" s="43"/>
      <c r="E39" s="2"/>
      <c r="F39" s="2"/>
      <c r="G39" s="2"/>
      <c r="H39" s="2"/>
      <c r="I39" s="2"/>
      <c r="J39" s="2"/>
      <c r="K39" s="2"/>
      <c r="L39" s="2"/>
      <c r="M39" s="193"/>
    </row>
    <row r="40" spans="1:13">
      <c r="A40" s="192"/>
      <c r="B40" s="2"/>
      <c r="C40" s="43"/>
      <c r="D40" s="43"/>
      <c r="E40" s="2"/>
      <c r="F40" s="2"/>
      <c r="G40" s="2"/>
      <c r="H40" s="2"/>
      <c r="I40" s="2"/>
      <c r="J40" s="2"/>
      <c r="K40" s="2"/>
      <c r="L40" s="2"/>
      <c r="M40" s="193"/>
    </row>
    <row r="41" spans="1:13">
      <c r="A41" s="192"/>
      <c r="B41" s="2"/>
      <c r="C41" s="43"/>
      <c r="D41" s="43"/>
      <c r="E41" s="2"/>
      <c r="F41" s="2"/>
      <c r="G41" s="2"/>
      <c r="H41" s="2"/>
      <c r="I41" s="2"/>
      <c r="J41" s="2"/>
      <c r="K41" s="2"/>
      <c r="L41" s="2"/>
      <c r="M41" s="193"/>
    </row>
    <row r="42" spans="1:13">
      <c r="A42" s="192"/>
      <c r="B42" s="2"/>
      <c r="C42" s="43"/>
      <c r="D42" s="43"/>
      <c r="E42" s="2"/>
      <c r="F42" s="2"/>
      <c r="G42" s="2"/>
      <c r="H42" s="2"/>
      <c r="I42" s="2"/>
      <c r="J42" s="2"/>
      <c r="K42" s="2"/>
      <c r="L42" s="2"/>
      <c r="M42" s="193"/>
    </row>
    <row r="43" spans="1:13">
      <c r="A43" s="192"/>
      <c r="B43" s="2"/>
      <c r="C43" s="43"/>
      <c r="D43" s="43"/>
      <c r="E43" s="2"/>
      <c r="F43" s="2"/>
      <c r="G43" s="2"/>
      <c r="H43" s="2"/>
      <c r="I43" s="2"/>
      <c r="J43" s="2"/>
      <c r="K43" s="2"/>
      <c r="L43" s="2"/>
      <c r="M43" s="193"/>
    </row>
    <row r="44" spans="1:13">
      <c r="A44" s="192"/>
      <c r="B44" s="2"/>
      <c r="C44" s="43"/>
      <c r="D44" s="43"/>
      <c r="E44" s="2"/>
      <c r="F44" s="2"/>
      <c r="G44" s="2"/>
      <c r="H44" s="2"/>
      <c r="I44" s="2"/>
      <c r="J44" s="2"/>
      <c r="K44" s="2"/>
      <c r="L44" s="2"/>
      <c r="M44" s="193"/>
    </row>
    <row r="45" spans="1:13">
      <c r="A45" s="192"/>
      <c r="B45" s="2"/>
      <c r="C45" s="2"/>
      <c r="D45" s="2"/>
      <c r="E45" s="2"/>
      <c r="F45" s="2"/>
      <c r="G45" s="2"/>
      <c r="H45" s="2"/>
      <c r="I45" s="2"/>
      <c r="J45" s="2"/>
      <c r="K45" s="2"/>
      <c r="L45" s="2"/>
      <c r="M45" s="193"/>
    </row>
    <row r="46" spans="1:13">
      <c r="A46" s="192"/>
      <c r="B46" s="2"/>
      <c r="C46" s="2"/>
      <c r="D46" s="2"/>
      <c r="E46" s="2"/>
      <c r="F46" s="2"/>
      <c r="G46" s="2"/>
      <c r="H46" s="2"/>
      <c r="I46" s="2"/>
      <c r="J46" s="2"/>
      <c r="K46" s="2"/>
      <c r="L46" s="2"/>
      <c r="M46" s="193"/>
    </row>
    <row r="47" spans="1:13">
      <c r="A47" s="192"/>
      <c r="B47" s="2"/>
      <c r="C47" s="2"/>
      <c r="D47" s="2"/>
      <c r="E47" s="2"/>
      <c r="F47" s="2"/>
      <c r="G47" s="2"/>
      <c r="H47" s="2"/>
      <c r="I47" s="2"/>
      <c r="J47" s="2"/>
      <c r="K47" s="2"/>
      <c r="L47" s="2"/>
      <c r="M47" s="193"/>
    </row>
    <row r="48" spans="1:13">
      <c r="A48" s="192"/>
      <c r="B48" s="2"/>
      <c r="C48" s="2"/>
      <c r="D48" s="2"/>
      <c r="E48" s="2"/>
      <c r="F48" s="2"/>
      <c r="G48" s="2"/>
      <c r="H48" s="2"/>
      <c r="I48" s="2"/>
      <c r="J48" s="2"/>
      <c r="K48" s="2"/>
      <c r="L48" s="2"/>
      <c r="M48" s="193"/>
    </row>
    <row r="49" spans="1:13" ht="1.1499999999999999" customHeight="1">
      <c r="A49" s="192" t="str">
        <f>CONCATENATE("System is operating at ",'System Config'!C8," MHz clock with VDD = ",'System Config'!C7,"V.")</f>
        <v>System is operating at 933 MHz clock with VDD = 1.35V.</v>
      </c>
      <c r="B49" s="2"/>
      <c r="C49" s="2"/>
      <c r="D49" s="2"/>
      <c r="E49" s="2"/>
      <c r="F49" s="2"/>
      <c r="G49" s="2"/>
      <c r="H49" s="2"/>
      <c r="I49" s="2"/>
      <c r="J49" s="2"/>
      <c r="K49" s="2"/>
      <c r="L49" s="2"/>
      <c r="M49" s="193"/>
    </row>
    <row r="50" spans="1:13" ht="14.65" hidden="1" customHeight="1">
      <c r="A50" s="192" t="str">
        <f>CONCATENATE("Read bandwidth is ",B52," MT/s with write bandwidth of ",B53," MT/s. The DRAM terminates  ",B54," MT/s.")</f>
        <v>Read bandwidth is 1119.6 MT/s with write bandwidth of 1119.6 MT/s. The DRAM terminates  0 MT/s.</v>
      </c>
      <c r="B50" s="2"/>
      <c r="C50" s="2"/>
      <c r="D50" s="2"/>
      <c r="E50" s="2"/>
      <c r="F50" s="2"/>
      <c r="G50" s="2"/>
      <c r="H50" s="2"/>
      <c r="I50" s="2"/>
      <c r="J50" s="2"/>
      <c r="K50" s="2"/>
      <c r="L50" s="2"/>
      <c r="M50" s="193"/>
    </row>
    <row r="51" spans="1:13" ht="17.649999999999999" hidden="1" customHeight="1">
      <c r="A51" s="192" t="str">
        <f>CONCATENATE("ACT commands are separated by ",'System Config'!C28,"ns on average.")</f>
        <v>ACT commands are separated by 14.2ns on average.</v>
      </c>
      <c r="B51" s="2"/>
      <c r="C51" s="2"/>
      <c r="D51" s="2"/>
      <c r="E51" s="2"/>
      <c r="F51" s="2"/>
      <c r="G51" s="2"/>
      <c r="H51" s="2"/>
      <c r="I51" s="2"/>
      <c r="J51" s="2"/>
      <c r="K51" s="2"/>
      <c r="L51" s="2"/>
      <c r="M51" s="193"/>
    </row>
    <row r="52" spans="1:13" ht="13.15" hidden="1" customHeight="1">
      <c r="A52" s="192"/>
      <c r="B52" s="44">
        <f>INT('System Config'!C8*'System Config'!C22*'DDR3 Config'!C8/8*20+0.999)/10</f>
        <v>1119.5999999999999</v>
      </c>
      <c r="C52" s="2" t="s">
        <v>35</v>
      </c>
      <c r="D52" s="2"/>
      <c r="E52" s="2"/>
      <c r="F52" s="2"/>
      <c r="G52" s="2"/>
      <c r="H52" s="2"/>
      <c r="I52" s="2"/>
      <c r="J52" s="2"/>
      <c r="K52" s="2"/>
      <c r="L52" s="2"/>
      <c r="M52" s="193"/>
    </row>
    <row r="53" spans="1:13" ht="16.899999999999999" hidden="1" customHeight="1">
      <c r="A53" s="192" t="s">
        <v>14</v>
      </c>
      <c r="B53" s="45">
        <f>INT('System Config'!C8*'System Config'!C23*'DDR3 Config'!C8/8*20+0.99)/10</f>
        <v>1119.5999999999999</v>
      </c>
      <c r="C53" s="2" t="s">
        <v>35</v>
      </c>
      <c r="D53" s="2"/>
      <c r="E53" s="2"/>
      <c r="F53" s="2"/>
      <c r="G53" s="2"/>
      <c r="H53" s="2"/>
      <c r="I53" s="2"/>
      <c r="J53" s="2"/>
      <c r="K53" s="2"/>
      <c r="L53" s="2"/>
      <c r="M53" s="193"/>
    </row>
    <row r="54" spans="1:13" ht="22.15" hidden="1" customHeight="1">
      <c r="A54" s="192" t="s">
        <v>34</v>
      </c>
      <c r="B54" s="46">
        <f>INT('System Config'!C8*('System Config'!C26+'System Config'!C25)*'DDR3 Config'!C8/8*20+0.99)/10</f>
        <v>0</v>
      </c>
      <c r="C54" s="2" t="s">
        <v>35</v>
      </c>
      <c r="D54" s="2"/>
      <c r="E54" s="2"/>
      <c r="F54" s="2"/>
      <c r="G54" s="2"/>
      <c r="H54" s="2"/>
      <c r="I54" s="2"/>
      <c r="J54" s="2"/>
      <c r="K54" s="2"/>
      <c r="L54" s="2"/>
      <c r="M54" s="193"/>
    </row>
    <row r="55" spans="1:13" ht="21.6" hidden="1" customHeight="1">
      <c r="A55" s="192" t="s">
        <v>96</v>
      </c>
      <c r="B55" s="2"/>
      <c r="C55" s="2"/>
      <c r="D55" s="2"/>
      <c r="E55" s="2"/>
      <c r="F55" s="2"/>
      <c r="G55" s="2"/>
      <c r="H55" s="2"/>
      <c r="I55" s="2"/>
      <c r="J55" s="2"/>
      <c r="K55" s="2"/>
      <c r="L55" s="2"/>
      <c r="M55" s="193"/>
    </row>
    <row r="56" spans="1:13" ht="12" hidden="1" customHeight="1">
      <c r="A56" s="192"/>
      <c r="B56" s="2"/>
      <c r="C56" s="2"/>
      <c r="D56" s="2"/>
      <c r="E56" s="2"/>
      <c r="F56" s="2"/>
      <c r="G56" s="2"/>
      <c r="H56" s="2"/>
      <c r="I56" s="2"/>
      <c r="J56" s="2"/>
      <c r="K56" s="2"/>
      <c r="L56" s="2"/>
      <c r="M56" s="193"/>
    </row>
    <row r="57" spans="1:13" hidden="1">
      <c r="A57" s="192"/>
      <c r="B57" s="2"/>
      <c r="C57" s="2"/>
      <c r="D57" s="2"/>
      <c r="E57" s="2"/>
      <c r="F57" s="2"/>
      <c r="G57" s="2"/>
      <c r="H57" s="2"/>
      <c r="I57" s="2"/>
      <c r="J57" s="2"/>
      <c r="K57" s="2"/>
      <c r="L57" s="2"/>
      <c r="M57" s="193"/>
    </row>
    <row r="58" spans="1:13" hidden="1">
      <c r="A58" s="192"/>
      <c r="B58" s="2"/>
      <c r="C58" s="2"/>
      <c r="D58" s="2"/>
      <c r="E58" s="2"/>
      <c r="F58" s="2"/>
      <c r="G58" s="2"/>
      <c r="H58" s="2"/>
      <c r="I58" s="2"/>
      <c r="J58" s="2"/>
      <c r="K58" s="2"/>
      <c r="L58" s="2"/>
      <c r="M58" s="193"/>
    </row>
    <row r="59" spans="1:13" hidden="1">
      <c r="A59" s="192"/>
      <c r="B59" s="2"/>
      <c r="C59" s="2"/>
      <c r="D59" s="2"/>
      <c r="E59" s="2"/>
      <c r="F59" s="2"/>
      <c r="G59" s="2"/>
      <c r="H59" s="2"/>
      <c r="I59" s="2"/>
      <c r="J59" s="2"/>
      <c r="K59" s="2"/>
      <c r="L59" s="2"/>
      <c r="M59" s="193"/>
    </row>
    <row r="60" spans="1:13" hidden="1">
      <c r="A60" s="192"/>
      <c r="B60" s="2"/>
      <c r="C60" s="2"/>
      <c r="D60" s="2"/>
      <c r="E60" s="2"/>
      <c r="F60" s="2"/>
      <c r="G60" s="2"/>
      <c r="H60" s="2"/>
      <c r="I60" s="2"/>
      <c r="J60" s="2"/>
      <c r="K60" s="2"/>
      <c r="L60" s="2"/>
      <c r="M60" s="193"/>
    </row>
    <row r="61" spans="1:13">
      <c r="A61" s="192"/>
      <c r="B61" s="2"/>
      <c r="C61" s="2"/>
      <c r="D61" s="2"/>
      <c r="E61" s="2"/>
      <c r="F61" s="2"/>
      <c r="G61" s="2"/>
      <c r="H61" s="2"/>
      <c r="I61" s="2"/>
      <c r="J61" s="2"/>
      <c r="K61" s="2"/>
      <c r="L61" s="2"/>
      <c r="M61" s="193"/>
    </row>
    <row r="62" spans="1:13">
      <c r="A62" s="192"/>
      <c r="B62" s="2"/>
      <c r="C62" s="2"/>
      <c r="D62" s="2"/>
      <c r="E62" s="2"/>
      <c r="F62" s="2"/>
      <c r="G62" s="2"/>
      <c r="H62" s="2"/>
      <c r="I62" s="2"/>
      <c r="J62" s="2"/>
      <c r="K62" s="2"/>
      <c r="L62" s="2"/>
      <c r="M62" s="193"/>
    </row>
    <row r="63" spans="1:13">
      <c r="A63" s="192"/>
      <c r="B63" s="2"/>
      <c r="C63" s="2"/>
      <c r="D63" s="2"/>
      <c r="E63" s="2"/>
      <c r="F63" s="2"/>
      <c r="G63" s="2"/>
      <c r="H63" s="2"/>
      <c r="I63" s="2"/>
      <c r="J63" s="2"/>
      <c r="K63" s="2"/>
      <c r="L63" s="2"/>
      <c r="M63" s="193"/>
    </row>
    <row r="64" spans="1:13" s="2" customFormat="1" ht="13.5" thickBot="1">
      <c r="A64" s="194"/>
      <c r="B64" s="194"/>
      <c r="C64" s="194"/>
      <c r="D64" s="194"/>
      <c r="E64" s="194"/>
      <c r="F64" s="194"/>
      <c r="G64" s="194"/>
      <c r="H64" s="194"/>
      <c r="I64" s="194"/>
      <c r="J64" s="194"/>
      <c r="K64" s="194"/>
      <c r="L64" s="194"/>
      <c r="M64" s="195"/>
    </row>
    <row r="65" ht="10.9"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EC0451D3A884D40821FF906FB015D0B" ma:contentTypeVersion="13" ma:contentTypeDescription="Create a new document." ma:contentTypeScope="" ma:versionID="e68e8387ed4110eefe4d75d705de191e">
  <xsd:schema xmlns:xsd="http://www.w3.org/2001/XMLSchema" xmlns:xs="http://www.w3.org/2001/XMLSchema" xmlns:p="http://schemas.microsoft.com/office/2006/metadata/properties" xmlns:ns3="9493e371-5797-434c-962e-ac1cbfafc258" xmlns:ns4="ec5ffe13-ead4-4a69-8ae4-547ac46bd04b" targetNamespace="http://schemas.microsoft.com/office/2006/metadata/properties" ma:root="true" ma:fieldsID="5c0a974502273b31d59b38359adce306" ns3:_="" ns4:_="">
    <xsd:import namespace="9493e371-5797-434c-962e-ac1cbfafc258"/>
    <xsd:import namespace="ec5ffe13-ead4-4a69-8ae4-547ac46bd04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93e371-5797-434c-962e-ac1cbfafc2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ffe13-ead4-4a69-8ae4-547ac46bd04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customXml/itemProps2.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3.xml><?xml version="1.0" encoding="utf-8"?>
<ds:datastoreItem xmlns:ds="http://schemas.openxmlformats.org/officeDocument/2006/customXml" ds:itemID="{CF9EF542-9303-4252-ACE1-6056F5E0DF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93e371-5797-434c-962e-ac1cbfafc258"/>
    <ds:schemaRef ds:uri="ec5ffe13-ead4-4a69-8ae4-547ac46bd0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Config'!Print_Area</vt:lpstr>
      <vt:lpstr>'DDR3 Spec'!Print_Area</vt:lpstr>
      <vt:lpstr>Instructions!Print_Area</vt:lpstr>
      <vt:lpstr>'Power Calcs'!Print_Area</vt:lpstr>
      <vt:lpstr>Summary!Print_Area</vt:lpstr>
      <vt:lpstr>'System Config'!Print_Area</vt:lpstr>
      <vt:lpstr>Title!Print_Area</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Fred</cp:lastModifiedBy>
  <cp:lastPrinted>2007-03-14T16:31:05Z</cp:lastPrinted>
  <dcterms:created xsi:type="dcterms:W3CDTF">2001-02-07T14:39:54Z</dcterms:created>
  <dcterms:modified xsi:type="dcterms:W3CDTF">2020-12-24T23:12:15Z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